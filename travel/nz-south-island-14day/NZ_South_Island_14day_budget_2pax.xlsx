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使用說明" sheetId="1" state="visible" r:id="rId1"/>
    <sheet name="01_總覽" sheetId="2" state="visible" r:id="rId2"/>
    <sheet name="02_每日行程花費" sheetId="3" state="visible" r:id="rId3"/>
    <sheet name="03_住宿明細" sheetId="4" state="visible" r:id="rId4"/>
    <sheet name="04_租車與油錢" sheetId="5" state="visible" r:id="rId5"/>
    <sheet name="05_Klook活動比價" sheetId="6" state="visible" r:id="rId6"/>
    <sheet name="06_可複製表格" sheetId="7" state="visible" r:id="rId7"/>
  </sheets>
  <definedNames>
    <definedName name="_xlnm._FilterDatabase" localSheetId="2" hidden="1">'02_每日行程花費'!$A$2:$R$16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&quot;NT$&quot;#,##0"/>
    <numFmt numFmtId="166" formatCode="&quot;NZ$&quot;#,##0"/>
    <numFmt numFmtId="167" formatCode="&quot;NZ$&quot;#,##0.00"/>
    <numFmt numFmtId="168" formatCode="0.0&quot; L&quot;"/>
  </numFmts>
  <fonts count="26">
    <font>
      <name val="Calibri"/>
      <family val="2"/>
      <color theme="1"/>
      <sz val="11"/>
      <scheme val="minor"/>
    </font>
    <font>
      <name val="Calibri"/>
      <b val="1"/>
      <color rgb="001B3A4B"/>
      <sz val="22"/>
    </font>
    <font>
      <name val="Calibri"/>
      <color rgb="002A6F7F"/>
      <sz val="11"/>
    </font>
    <font>
      <name val="Calibri"/>
      <b val="1"/>
      <color rgb="00FFFFFF"/>
      <sz val="11"/>
    </font>
    <font>
      <name val="Calibri"/>
      <b val="1"/>
      <color rgb="001B3A4B"/>
      <sz val="11"/>
    </font>
    <font>
      <name val="Calibri"/>
      <color rgb="00111827"/>
      <sz val="10"/>
    </font>
    <font>
      <name val="Calibri"/>
      <b val="1"/>
      <color rgb="001B3A4B"/>
      <sz val="14"/>
    </font>
    <font>
      <name val="Calibri"/>
      <b val="1"/>
      <color rgb="001B3A4B"/>
      <sz val="18"/>
    </font>
    <font>
      <name val="Calibri"/>
      <color rgb="006B7280"/>
      <sz val="10"/>
    </font>
    <font>
      <name val="Calibri"/>
      <b val="1"/>
      <color rgb="00111827"/>
      <sz val="11"/>
    </font>
    <font>
      <name val="Calibri"/>
      <color rgb="00111827"/>
      <sz val="11"/>
    </font>
    <font>
      <name val="Calibri"/>
      <color rgb="006B7280"/>
      <sz val="9"/>
    </font>
    <font>
      <name val="Calibri"/>
      <b val="1"/>
      <color rgb="00FFFFFF"/>
      <sz val="12"/>
    </font>
    <font>
      <name val="Calibri"/>
      <b val="1"/>
      <color rgb="003D6B4F"/>
      <sz val="11"/>
    </font>
    <font>
      <name val="Calibri"/>
      <b val="1"/>
      <color rgb="00FFFFFF"/>
      <sz val="9"/>
    </font>
    <font>
      <name val="Calibri"/>
      <b val="1"/>
      <color rgb="00FFFFFF"/>
      <sz val="14"/>
    </font>
    <font>
      <name val="Calibri"/>
      <color rgb="00111827"/>
      <sz val="9"/>
    </font>
    <font>
      <name val="Calibri"/>
      <b val="1"/>
      <color rgb="001B3A4B"/>
      <sz val="12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b val="1"/>
      <color rgb="00FFFFFF"/>
      <sz val="8"/>
    </font>
    <font>
      <name val="Calibri"/>
      <color rgb="001D4ED8"/>
      <sz val="8"/>
      <u val="single"/>
    </font>
    <font>
      <name val="Calibri"/>
      <b val="1"/>
      <color rgb="001B3A4B"/>
      <sz val="10"/>
    </font>
    <font>
      <name val="Calibri"/>
      <b val="1"/>
      <color rgb="002A6F7F"/>
      <sz val="12"/>
    </font>
    <font>
      <name val="Calibri"/>
      <color rgb="00111827"/>
      <sz val="8"/>
    </font>
    <font>
      <name val="Calibri"/>
      <b val="1"/>
      <color rgb="00111827"/>
      <sz val="9"/>
    </font>
  </fonts>
  <fills count="15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E8F0F2"/>
      </patternFill>
    </fill>
    <fill>
      <patternFill patternType="solid">
        <fgColor rgb="00F7F1E3"/>
      </patternFill>
    </fill>
    <fill>
      <patternFill patternType="solid">
        <fgColor rgb="002A6F7F"/>
      </patternFill>
    </fill>
    <fill>
      <patternFill patternType="solid">
        <fgColor rgb="00FFF4D6"/>
      </patternFill>
    </fill>
    <fill>
      <patternFill patternType="solid">
        <fgColor rgb="00FFFFFF"/>
      </patternFill>
    </fill>
    <fill>
      <patternFill patternType="solid">
        <fgColor rgb="00C4A35A"/>
      </patternFill>
    </fill>
    <fill>
      <patternFill patternType="solid">
        <fgColor rgb="00DCECE8"/>
      </patternFill>
    </fill>
    <fill>
      <patternFill patternType="solid">
        <fgColor rgb="00E6F0FA"/>
      </patternFill>
    </fill>
    <fill>
      <patternFill patternType="solid">
        <fgColor rgb="00FDE8E8"/>
      </patternFill>
    </fill>
    <fill>
      <patternFill patternType="solid">
        <fgColor rgb="003D6B4F"/>
      </patternFill>
    </fill>
    <fill>
      <patternFill patternType="solid">
        <fgColor rgb="00D97706"/>
      </patternFill>
    </fill>
    <fill>
      <patternFill patternType="solid">
        <fgColor rgb="005B21B6"/>
      </patternFill>
    </fill>
  </fills>
  <borders count="11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/>
      <top/>
      <bottom/>
      <diagonal/>
    </border>
    <border>
      <left/>
      <right style="thin">
        <color rgb="00D1D5DB"/>
      </right>
      <top/>
      <bottom/>
      <diagonal/>
    </border>
    <border>
      <left style="thin">
        <color rgb="00D1D5DB"/>
      </left>
      <right/>
      <top/>
      <bottom style="thin">
        <color rgb="00D1D5DB"/>
      </bottom>
      <diagonal/>
    </border>
    <border>
      <left/>
      <right/>
      <top/>
      <bottom style="thin">
        <color rgb="00D1D5DB"/>
      </bottom>
      <diagonal/>
    </border>
    <border>
      <left/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1" pivotButton="0" quotePrefix="0" xfId="0"/>
    <xf numFmtId="1" fontId="10" fillId="6" borderId="1" pivotButton="0" quotePrefix="0" xfId="0"/>
    <xf numFmtId="0" fontId="10" fillId="0" borderId="1" pivotButton="0" quotePrefix="0" xfId="0"/>
    <xf numFmtId="164" fontId="10" fillId="6" borderId="1" pivotButton="0" quotePrefix="0" xfId="0"/>
    <xf numFmtId="0" fontId="10" fillId="6" borderId="1" pivotButton="0" quotePrefix="0" xfId="0"/>
    <xf numFmtId="165" fontId="10" fillId="6" borderId="1" pivotButton="0" quotePrefix="0" xfId="0"/>
    <xf numFmtId="0" fontId="5" fillId="3" borderId="1" applyAlignment="1" pivotButton="0" quotePrefix="0" xfId="0">
      <alignment horizontal="left" vertical="center" wrapText="1"/>
    </xf>
    <xf numFmtId="166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166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0" fontId="12" fillId="2" borderId="1" pivotButton="0" quotePrefix="0" xfId="0"/>
    <xf numFmtId="166" fontId="12" fillId="2" borderId="1" applyAlignment="1" pivotButton="0" quotePrefix="0" xfId="0">
      <alignment horizontal="right" vertical="center"/>
    </xf>
    <xf numFmtId="165" fontId="12" fillId="2" borderId="1" applyAlignment="1" pivotButton="0" quotePrefix="0" xfId="0">
      <alignment horizontal="right" vertical="center"/>
    </xf>
    <xf numFmtId="0" fontId="4" fillId="8" borderId="1" pivotButton="0" quotePrefix="0" xfId="0"/>
    <xf numFmtId="166" fontId="4" fillId="8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right" vertical="center"/>
    </xf>
    <xf numFmtId="0" fontId="13" fillId="9" borderId="1" applyAlignment="1" pivotButton="0" quotePrefix="0" xfId="0">
      <alignment horizontal="left" vertical="center" wrapText="1"/>
    </xf>
    <xf numFmtId="165" fontId="13" fillId="9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top" wrapText="1"/>
    </xf>
    <xf numFmtId="0" fontId="15" fillId="2" borderId="0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top" wrapText="1"/>
    </xf>
    <xf numFmtId="166" fontId="16" fillId="3" borderId="1" applyAlignment="1" pivotButton="0" quotePrefix="0" xfId="0">
      <alignment horizontal="right" vertical="center"/>
    </xf>
    <xf numFmtId="165" fontId="16" fillId="3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left" vertical="top" wrapText="1"/>
    </xf>
    <xf numFmtId="166" fontId="16" fillId="7" borderId="1" applyAlignment="1" pivotButton="0" quotePrefix="0" xfId="0">
      <alignment horizontal="right" vertical="center"/>
    </xf>
    <xf numFmtId="165" fontId="16" fillId="7" borderId="1" applyAlignment="1" pivotButton="0" quotePrefix="0" xfId="0">
      <alignment horizontal="right" vertical="center"/>
    </xf>
    <xf numFmtId="0" fontId="17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left" vertical="top" wrapText="1"/>
    </xf>
    <xf numFmtId="166" fontId="16" fillId="11" borderId="1" applyAlignment="1" pivotButton="0" quotePrefix="0" xfId="0">
      <alignment horizontal="right" vertical="center"/>
    </xf>
    <xf numFmtId="165" fontId="16" fillId="11" borderId="1" applyAlignment="1" pivotButton="0" quotePrefix="0" xfId="0">
      <alignment horizontal="right" vertical="center"/>
    </xf>
    <xf numFmtId="0" fontId="18" fillId="2" borderId="1" applyAlignment="1" pivotButton="0" quotePrefix="0" xfId="0">
      <alignment horizontal="center" vertical="center" wrapText="1"/>
    </xf>
    <xf numFmtId="166" fontId="18" fillId="2" borderId="1" applyAlignment="1" pivotButton="0" quotePrefix="0" xfId="0">
      <alignment horizontal="right" vertical="center"/>
    </xf>
    <xf numFmtId="166" fontId="3" fillId="2" borderId="1" applyAlignment="1" pivotButton="0" quotePrefix="0" xfId="0">
      <alignment horizontal="right" vertical="center"/>
    </xf>
    <xf numFmtId="165" fontId="3" fillId="2" borderId="1" applyAlignment="1" pivotButton="0" quotePrefix="0" xfId="0">
      <alignment horizontal="right" vertical="center"/>
    </xf>
    <xf numFmtId="165" fontId="18" fillId="2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top" wrapText="1"/>
    </xf>
    <xf numFmtId="0" fontId="15" fillId="12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166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18" fillId="2" borderId="1" pivotButton="0" quotePrefix="0" xfId="0"/>
    <xf numFmtId="0" fontId="5" fillId="4" borderId="1" applyAlignment="1" pivotButton="0" quotePrefix="0" xfId="0">
      <alignment horizontal="left" vertical="top" wrapText="1"/>
    </xf>
    <xf numFmtId="0" fontId="15" fillId="13" borderId="0" applyAlignment="1" pivotButton="0" quotePrefix="0" xfId="0">
      <alignment horizontal="left" vertical="center"/>
    </xf>
    <xf numFmtId="0" fontId="17" fillId="0" borderId="0" pivotButton="0" quotePrefix="0" xfId="0"/>
    <xf numFmtId="167" fontId="5" fillId="6" borderId="1" applyAlignment="1" pivotButton="0" quotePrefix="0" xfId="0">
      <alignment horizontal="left" vertical="center" wrapText="1"/>
    </xf>
    <xf numFmtId="0" fontId="16" fillId="7" borderId="1" pivotButton="0" quotePrefix="0" xfId="0"/>
    <xf numFmtId="0" fontId="16" fillId="3" borderId="1" pivotButton="0" quotePrefix="0" xfId="0"/>
    <xf numFmtId="166" fontId="5" fillId="6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3" fillId="2" borderId="1" pivotButton="0" quotePrefix="0" xfId="0"/>
    <xf numFmtId="168" fontId="5" fillId="0" borderId="1" applyAlignment="1" pivotButton="0" quotePrefix="0" xfId="0">
      <alignment horizontal="right" vertical="center"/>
    </xf>
    <xf numFmtId="0" fontId="15" fillId="14" borderId="0" applyAlignment="1" pivotButton="0" quotePrefix="0" xfId="0">
      <alignment horizontal="left" vertical="center"/>
    </xf>
    <xf numFmtId="0" fontId="20" fillId="2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left" vertical="center" wrapText="1"/>
    </xf>
    <xf numFmtId="166" fontId="16" fillId="7" borderId="1" applyAlignment="1" pivotButton="0" quotePrefix="0" xfId="0">
      <alignment horizontal="left" vertical="center" wrapText="1"/>
    </xf>
    <xf numFmtId="165" fontId="16" fillId="7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166" fontId="16" fillId="3" borderId="1" applyAlignment="1" pivotButton="0" quotePrefix="0" xfId="0">
      <alignment horizontal="left" vertical="center" wrapText="1"/>
    </xf>
    <xf numFmtId="165" fontId="16" fillId="3" borderId="1" applyAlignment="1" pivotButton="0" quotePrefix="0" xfId="0">
      <alignment horizontal="left" vertical="center" wrapText="1"/>
    </xf>
    <xf numFmtId="0" fontId="23" fillId="0" borderId="0" pivotButton="0" quotePrefix="0" xfId="0"/>
    <xf numFmtId="0" fontId="14" fillId="5" borderId="1" pivotButton="0" quotePrefix="0" xfId="0"/>
    <xf numFmtId="0" fontId="24" fillId="0" borderId="1" applyAlignment="1" pivotButton="0" quotePrefix="0" xfId="0">
      <alignment horizontal="left" vertical="center" wrapText="1"/>
    </xf>
    <xf numFmtId="0" fontId="16" fillId="0" borderId="1" pivotButton="0" quotePrefix="0" xfId="0"/>
    <xf numFmtId="0" fontId="25" fillId="6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兩人花費結構（NZD）</a:t>
            </a:r>
          </a:p>
        </rich>
      </tx>
    </title>
    <plotArea>
      <pieChart>
        <varyColors val="1"/>
        <ser>
          <idx val="0"/>
          <order val="0"/>
          <tx>
            <strRef>
              <f>'01_總覽'!C11</f>
            </strRef>
          </tx>
          <spPr>
            <a:ln>
              <a:prstDash val="solid"/>
            </a:ln>
          </spPr>
          <cat>
            <numRef>
              <f>'01_總覽'!$B$12:$B$20</f>
            </numRef>
          </cat>
          <val>
            <numRef>
              <f>'01_總覽'!$C$12:$C$20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klook.com/zh-TW/activity/7171-whale-watch-kaikoura-auckland/" TargetMode="External" Id="rId1" /><Relationship Type="http://schemas.openxmlformats.org/officeDocument/2006/relationships/hyperlink" Target="https://www.klook.com/zh-TW/activity/13811-half-day-heli-hike-franz-fox-franz-josef-glacier/" TargetMode="External" Id="rId2" /><Relationship Type="http://schemas.openxmlformats.org/officeDocument/2006/relationships/hyperlink" Target="https://www.klook.com/zh-TW/activity/20221-glowworm-cave-tour-te-anau-queenstown/" TargetMode="External" Id="rId3" /><Relationship Type="http://schemas.openxmlformats.org/officeDocument/2006/relationships/hyperlink" Target="https://www.klook.com/zh-TW/activity/21592-nature-cruise-queenstown-te-anau-milford-sound/" TargetMode="External" Id="rId4" /><Relationship Type="http://schemas.openxmlformats.org/officeDocument/2006/relationships/hyperlink" Target="https://www.penguins.co.nz/visit/evening-viewing/" TargetMode="External" Id="rId5" /><Relationship Type="http://schemas.openxmlformats.org/officeDocument/2006/relationships/hyperlink" Target="https://www.klook.com/zh-TW/activity/107359-tasman-valley-walk-cruise-mount-cook/" TargetMode="External" Id="rId6" /><Relationship Type="http://schemas.openxmlformats.org/officeDocument/2006/relationships/hyperlink" Target="https://www.klook.com/zh-TW/activity/2217-earth-sky-mt-john-observatory-tour-christchurch/" TargetMode="External" Id="rId7" /></Relationships>
</file>

<file path=xl/worksheets/sheet1.xml><?xml version="1.0" encoding="utf-8"?>
<worksheet xmlns="http://schemas.openxmlformats.org/spreadsheetml/2006/main">
  <sheetPr>
    <tabColor rgb="001B3A4B"/>
    <outlinePr summaryBelow="1" summaryRight="1"/>
    <pageSetUpPr fitToPage="1"/>
  </sheetPr>
  <dimension ref="B2:H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 ht="30" customHeight="1">
      <c r="B2" s="1" t="inlineStr">
        <is>
          <t>紐西蘭南島 14 天自駕花費規劃（兩人）</t>
        </is>
      </c>
    </row>
    <row r="3">
      <c r="B3" s="2" t="inlineStr">
        <is>
          <t>路線依阿新 14 天環島：https://shinshing.tw/nz-south-island-itinerary/#14days　　出發季：2027 年 4–5 月（清明連假可出發）</t>
        </is>
      </c>
    </row>
    <row r="5">
      <c r="B5" s="3" t="inlineStr">
        <is>
          <t>項目</t>
        </is>
      </c>
      <c r="C5" s="3" t="inlineStr">
        <is>
          <t>說明</t>
        </is>
      </c>
      <c r="D5" s="4" t="n"/>
      <c r="E5" s="4" t="n"/>
      <c r="F5" s="4" t="n"/>
      <c r="G5" s="4" t="n"/>
      <c r="H5" s="5" t="n"/>
    </row>
    <row r="6" ht="32" customHeight="1">
      <c r="B6" s="6" t="inlineStr">
        <is>
          <t>規劃前提</t>
        </is>
      </c>
      <c r="C6" s="7" t="inlineStr">
        <is>
          <t>2 位成人、自駕小車、中價 motel／重點升級隱士山景 1 晚、餐食為早餐自煮＋中午 cafe＋晚餐輪流外食</t>
        </is>
      </c>
      <c r="D6" s="4" t="n"/>
      <c r="E6" s="4" t="n"/>
      <c r="F6" s="4" t="n"/>
      <c r="G6" s="4" t="n"/>
      <c r="H6" s="5" t="n"/>
    </row>
    <row r="7" ht="32" customHeight="1">
      <c r="B7" s="6" t="inlineStr">
        <is>
          <t>匯率</t>
        </is>
      </c>
      <c r="C7" s="8" t="inlineStr">
        <is>
          <t>1 NZD = 18 TWD（2026/10 約 17.9，算預算用 18 較安心）</t>
        </is>
      </c>
      <c r="D7" s="4" t="n"/>
      <c r="E7" s="4" t="n"/>
      <c r="F7" s="4" t="n"/>
      <c r="G7" s="4" t="n"/>
      <c r="H7" s="5" t="n"/>
    </row>
    <row r="8" ht="32" customHeight="1">
      <c r="B8" s="6" t="inlineStr">
        <is>
          <t>季節</t>
        </is>
      </c>
      <c r="C8" s="7" t="inlineStr">
        <is>
          <t>4–5 月是南島秋天。4 月隱士飯店仍偏旺季，5 月起房價常下降。企鵝、觀鯨、螢火蟲全年；冰川與觀星看天氣。</t>
        </is>
      </c>
      <c r="D8" s="4" t="n"/>
      <c r="E8" s="4" t="n"/>
      <c r="F8" s="4" t="n"/>
      <c r="G8" s="4" t="n"/>
      <c r="H8" s="5" t="n"/>
    </row>
    <row r="9" ht="32" customHeight="1">
      <c r="B9" s="6" t="inlineStr">
        <is>
          <t>路線</t>
        </is>
      </c>
      <c r="C9" s="8" t="inlineStr">
        <is>
          <t>基督城進、基督城出、順時針環島。不收異地還車費。全程約 2,700–2,900 km。</t>
        </is>
      </c>
      <c r="D9" s="4" t="n"/>
      <c r="E9" s="4" t="n"/>
      <c r="F9" s="4" t="n"/>
      <c r="G9" s="4" t="n"/>
      <c r="H9" s="5" t="n"/>
    </row>
    <row r="10" ht="32" customHeight="1">
      <c r="B10" s="6" t="inlineStr">
        <is>
          <t>活動</t>
        </is>
      </c>
      <c r="C10" s="7" t="inlineStr">
        <is>
          <t>已套入你要的 7 項：凱庫拉觀鯨、弗蘭茲直升機冰川健行、米佛遊船、蒂阿瑙螢火蟲、奧瑪魯企鵝、庫克山冰川探險、蒂卡波觀星</t>
        </is>
      </c>
      <c r="D10" s="4" t="n"/>
      <c r="E10" s="4" t="n"/>
      <c r="F10" s="4" t="n"/>
      <c r="G10" s="4" t="n"/>
      <c r="H10" s="5" t="n"/>
    </row>
    <row r="11" ht="32" customHeight="1">
      <c r="B11" s="6" t="inlineStr">
        <is>
          <t>Klook</t>
        </is>
      </c>
      <c r="C11" s="8" t="inlineStr">
        <is>
          <t>Klook 即時價要選日期才出，且常被地區鎖價。本表用 2026 平台曝光價＋官網 2026/27 牌價。4–5 月通常接近此帶，下單前請再點連結核一次。</t>
        </is>
      </c>
      <c r="D11" s="4" t="n"/>
      <c r="E11" s="4" t="n"/>
      <c r="F11" s="4" t="n"/>
      <c r="G11" s="4" t="n"/>
      <c r="H11" s="5" t="n"/>
    </row>
    <row r="12" ht="32" customHeight="1">
      <c r="B12" s="6" t="inlineStr">
        <is>
          <t>怎麼用</t>
        </is>
      </c>
      <c r="C12" s="7" t="inlineStr">
        <is>
          <t>先看「01_總覽」→「02_每日行程花費」改你的實際房價／油錢。黃色格子是可改假設。橘色是天氣高風險日。</t>
        </is>
      </c>
      <c r="D12" s="4" t="n"/>
      <c r="E12" s="4" t="n"/>
      <c r="F12" s="4" t="n"/>
      <c r="G12" s="4" t="n"/>
      <c r="H12" s="5" t="n"/>
    </row>
    <row r="13" ht="32" customHeight="1">
      <c r="B13" s="6" t="inlineStr">
        <is>
          <t>注意</t>
        </is>
      </c>
      <c r="C13" s="8" t="inlineStr">
        <is>
          <t>阿新這條 14 天環島節奏偏趕。冰川區、庫克山、蒂卡波都只住 1 晚，西岸下雨取消直升機時幾乎沒備援。若要 chill，冰川至少改住 2 晚。</t>
        </is>
      </c>
      <c r="D13" s="4" t="n"/>
      <c r="E13" s="4" t="n"/>
      <c r="F13" s="4" t="n"/>
      <c r="G13" s="4" t="n"/>
      <c r="H13" s="5" t="n"/>
    </row>
    <row r="16">
      <c r="B16" s="9" t="inlineStr">
        <is>
          <t>分頁導覽</t>
        </is>
      </c>
    </row>
    <row r="17">
      <c r="B17" s="3" t="inlineStr">
        <is>
          <t>分頁</t>
        </is>
      </c>
      <c r="C17" s="3" t="inlineStr">
        <is>
          <t>內容</t>
        </is>
      </c>
      <c r="D17" s="4" t="n"/>
      <c r="E17" s="4" t="n"/>
      <c r="F17" s="4" t="n"/>
      <c r="G17" s="4" t="n"/>
      <c r="H17" s="5" t="n"/>
    </row>
    <row r="18" ht="22" customHeight="1">
      <c r="B18" s="10" t="inlineStr">
        <is>
          <t>01_總覽</t>
        </is>
      </c>
      <c r="C18" s="11" t="inlineStr">
        <is>
          <t>兩人／每人總預算、三大住法、建議帶多少錢</t>
        </is>
      </c>
      <c r="D18" s="4" t="n"/>
      <c r="E18" s="4" t="n"/>
      <c r="F18" s="4" t="n"/>
      <c r="G18" s="4" t="n"/>
      <c r="H18" s="5" t="n"/>
    </row>
    <row r="19" ht="22" customHeight="1">
      <c r="B19" s="10" t="inlineStr">
        <is>
          <t>02_每日行程花費</t>
        </is>
      </c>
      <c r="C19" s="11" t="inlineStr">
        <is>
          <t>14 天逐日：住哪、車程、活動、當天兩人花費</t>
        </is>
      </c>
      <c r="D19" s="4" t="n"/>
      <c r="E19" s="4" t="n"/>
      <c r="F19" s="4" t="n"/>
      <c r="G19" s="4" t="n"/>
      <c r="H19" s="5" t="n"/>
    </row>
    <row r="20" ht="22" customHeight="1">
      <c r="B20" s="10" t="inlineStr">
        <is>
          <t>03_住宿明細</t>
        </is>
      </c>
      <c r="C20" s="11" t="inlineStr">
        <is>
          <t>13 晚建議房型與價位（含隱士山景）</t>
        </is>
      </c>
      <c r="D20" s="4" t="n"/>
      <c r="E20" s="4" t="n"/>
      <c r="F20" s="4" t="n"/>
      <c r="G20" s="4" t="n"/>
      <c r="H20" s="5" t="n"/>
    </row>
    <row r="21" ht="22" customHeight="1">
      <c r="B21" s="10" t="inlineStr">
        <is>
          <t>04_租車與油錢</t>
        </is>
      </c>
      <c r="C21" s="11" t="inlineStr">
        <is>
          <t>14 天租車、保險、每日公里與油耗</t>
        </is>
      </c>
      <c r="D21" s="4" t="n"/>
      <c r="E21" s="4" t="n"/>
      <c r="F21" s="4" t="n"/>
      <c r="G21" s="4" t="n"/>
      <c r="H21" s="5" t="n"/>
    </row>
    <row r="22" ht="22" customHeight="1">
      <c r="B22" s="10" t="inlineStr">
        <is>
          <t>05_Klook活動比價</t>
        </is>
      </c>
      <c r="C22" s="11" t="inlineStr">
        <is>
          <t>7 項活動：官網 vs Klook、連結、建議買法</t>
        </is>
      </c>
      <c r="D22" s="4" t="n"/>
      <c r="E22" s="4" t="n"/>
      <c r="F22" s="4" t="n"/>
      <c r="G22" s="4" t="n"/>
      <c r="H22" s="5" t="n"/>
    </row>
    <row r="23" ht="22" customHeight="1">
      <c r="B23" s="10" t="inlineStr">
        <is>
          <t>06_可複製表格</t>
        </is>
      </c>
      <c r="C23" s="11" t="inlineStr">
        <is>
          <t>純文字表，可整段複製到 Google 試算表</t>
        </is>
      </c>
      <c r="D23" s="4" t="n"/>
      <c r="E23" s="4" t="n"/>
      <c r="F23" s="4" t="n"/>
      <c r="G23" s="4" t="n"/>
      <c r="H23" s="5" t="n"/>
    </row>
  </sheetData>
  <mergeCells count="19">
    <mergeCell ref="C10:H10"/>
    <mergeCell ref="C22:H22"/>
    <mergeCell ref="C9:H9"/>
    <mergeCell ref="C12:H12"/>
    <mergeCell ref="C21:H21"/>
    <mergeCell ref="C11:H11"/>
    <mergeCell ref="C23:H23"/>
    <mergeCell ref="C8:H8"/>
    <mergeCell ref="B16:H16"/>
    <mergeCell ref="C17:H17"/>
    <mergeCell ref="B3:H3"/>
    <mergeCell ref="C7:H7"/>
    <mergeCell ref="C19:H19"/>
    <mergeCell ref="C13:H13"/>
    <mergeCell ref="B2:H2"/>
    <mergeCell ref="C18:H18"/>
    <mergeCell ref="C6:H6"/>
    <mergeCell ref="C5:H5"/>
    <mergeCell ref="C20:H20"/>
  </mergeCells>
  <pageMargins left="0.75" right="0.75" top="1" bottom="1" header="0.5" footer="0.5"/>
  <pageSetup orientation="landscape" paperSize="9" fitToHeight="0" fitToWidth="1"/>
  <headerFooter>
    <oddHeader>&amp;LNZ South Island 14-day budget</oddHeader>
    <oddFooter>&amp;RPage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A6F7F"/>
    <outlinePr summaryBelow="1" summaryRight="1"/>
    <pageSetUpPr fitToPage="1"/>
  </sheetPr>
  <dimension ref="B2:G32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6" customWidth="1" min="4" max="4"/>
    <col width="14" customWidth="1" min="5" max="5"/>
    <col width="18" customWidth="1" min="6" max="6"/>
    <col width="46" customWidth="1" min="7" max="7"/>
  </cols>
  <sheetData>
    <row r="2" ht="26" customHeight="1">
      <c r="B2" s="12" t="inlineStr">
        <is>
          <t>兩人 14 天總預算（4–5 月、建議規格）</t>
        </is>
      </c>
    </row>
    <row r="3">
      <c r="B3" s="13" t="inlineStr">
        <is>
          <t>黃色格子可改。改匯率或人數後，總覽與部分公式會重算。活動與住宿明細是固定估算，改完請同步改其他分頁。</t>
        </is>
      </c>
    </row>
    <row r="5">
      <c r="B5" s="3" t="inlineStr">
        <is>
          <t>可改假設</t>
        </is>
      </c>
      <c r="C5" s="3" t="n"/>
      <c r="D5" s="3" t="n"/>
    </row>
    <row r="6">
      <c r="B6" s="14" t="inlineStr">
        <is>
          <t>人數</t>
        </is>
      </c>
      <c r="C6" s="15" t="n">
        <v>2</v>
      </c>
      <c r="D6" s="16" t="inlineStr">
        <is>
          <t>成人</t>
        </is>
      </c>
    </row>
    <row r="7">
      <c r="B7" s="14" t="inlineStr">
        <is>
          <t>匯率 NZD→TWD</t>
        </is>
      </c>
      <c r="C7" s="17" t="n">
        <v>18</v>
      </c>
      <c r="D7" s="16" t="inlineStr">
        <is>
          <t>2026/10 約 17.9，用 18</t>
        </is>
      </c>
    </row>
    <row r="8">
      <c r="B8" s="14" t="inlineStr">
        <is>
          <t>出發月份</t>
        </is>
      </c>
      <c r="C8" s="18" t="inlineStr">
        <is>
          <t>2027年4–5月</t>
        </is>
      </c>
      <c r="D8" s="16" t="inlineStr">
        <is>
          <t>清明連假可出發；4月機票較貴</t>
        </is>
      </c>
    </row>
    <row r="9">
      <c r="B9" s="14" t="inlineStr">
        <is>
          <t>機票一人（TWD）</t>
        </is>
      </c>
      <c r="C9" s="19" t="n">
        <v>42000</v>
      </c>
      <c r="D9" s="16" t="inlineStr">
        <is>
          <t>清明週約 4.7–5.2萬；4月下旬／5月約 3.8萬</t>
        </is>
      </c>
    </row>
    <row r="11">
      <c r="B11" s="3" t="inlineStr">
        <is>
          <t>項目</t>
        </is>
      </c>
      <c r="C11" s="3" t="inlineStr">
        <is>
          <t>兩人 NZD</t>
        </is>
      </c>
      <c r="D11" s="3" t="inlineStr">
        <is>
          <t>兩人 TWD</t>
        </is>
      </c>
      <c r="E11" s="3" t="inlineStr">
        <is>
          <t>每人 TWD</t>
        </is>
      </c>
      <c r="F11" s="3" t="inlineStr">
        <is>
          <t>說明</t>
        </is>
      </c>
    </row>
    <row r="12">
      <c r="B12" s="20" t="inlineStr">
        <is>
          <t>來回機票 TPE↔CHC</t>
        </is>
      </c>
      <c r="C12" s="21">
        <f>D12/$C$7</f>
        <v/>
      </c>
      <c r="D12" s="22">
        <f>$C$9*$C$6</f>
        <v/>
      </c>
      <c r="E12" s="22">
        <f>$C$9</f>
        <v/>
      </c>
      <c r="F12" s="20" t="inlineStr">
        <is>
          <t>4–5月平均；清明出發抓 4.7–5.2萬／人</t>
        </is>
      </c>
    </row>
    <row r="13">
      <c r="B13" s="23" t="inlineStr">
        <is>
          <t>NZeTA + IVL</t>
        </is>
      </c>
      <c r="C13" s="24" t="n">
        <v>234</v>
      </c>
      <c r="D13" s="25">
        <f>C13*$C$7</f>
        <v/>
      </c>
      <c r="E13" s="25">
        <f>D13/$C$6</f>
        <v/>
      </c>
      <c r="F13" s="23" t="inlineStr">
        <is>
          <t>App NZ$17 + 觀光稅 NZ$100，每人 NZ$117</t>
        </is>
      </c>
    </row>
    <row r="14">
      <c r="B14" s="20" t="inlineStr">
        <is>
          <t>旅遊保險</t>
        </is>
      </c>
      <c r="C14" s="21" t="n">
        <v>360</v>
      </c>
      <c r="D14" s="22">
        <f>C14*$C$7</f>
        <v/>
      </c>
      <c r="E14" s="22">
        <f>D14/$C$6</f>
        <v/>
      </c>
      <c r="F14" s="20" t="inlineStr">
        <is>
          <t>含醫療＋取消＋部分租車，約 NT$3,000–4,000／人</t>
        </is>
      </c>
    </row>
    <row r="15">
      <c r="B15" s="23" t="inlineStr">
        <is>
          <t>住宿 13 晚（含隱士山景 1 晚）</t>
        </is>
      </c>
      <c r="C15" s="24" t="n">
        <v>2540</v>
      </c>
      <c r="D15" s="25">
        <f>C15*$C$7</f>
        <v/>
      </c>
      <c r="E15" s="25">
        <f>D15/$C$6</f>
        <v/>
      </c>
      <c r="F15" s="23" t="inlineStr">
        <is>
          <t>見 03_住宿明細；motel 為主</t>
        </is>
      </c>
    </row>
    <row r="16">
      <c r="B16" s="20" t="inlineStr">
        <is>
          <t>租車 14 天＋全險</t>
        </is>
      </c>
      <c r="C16" s="21" t="n">
        <v>1680</v>
      </c>
      <c r="D16" s="22">
        <f>C16*$C$7</f>
        <v/>
      </c>
      <c r="E16" s="22">
        <f>D16/$C$6</f>
        <v/>
      </c>
      <c r="F16" s="20" t="inlineStr">
        <is>
          <t>小車＋SCDW；基督城進出無異地還車費</t>
        </is>
      </c>
    </row>
    <row r="17">
      <c r="B17" s="23" t="inlineStr">
        <is>
          <t>油錢（約 2,780 km）</t>
        </is>
      </c>
      <c r="C17" s="24" t="n">
        <v>619</v>
      </c>
      <c r="D17" s="25">
        <f>C17*$C$7</f>
        <v/>
      </c>
      <c r="E17" s="25">
        <f>D17/$C$6</f>
        <v/>
      </c>
      <c r="F17" s="23" t="inlineStr">
        <is>
          <t>見 04_租車與油錢</t>
        </is>
      </c>
    </row>
    <row r="18">
      <c r="B18" s="20" t="inlineStr">
        <is>
          <t>餐食 14 天</t>
        </is>
      </c>
      <c r="C18" s="21" t="n">
        <v>1750</v>
      </c>
      <c r="D18" s="22">
        <f>C18*$C$7</f>
        <v/>
      </c>
      <c r="E18" s="22">
        <f>D18/$C$6</f>
        <v/>
      </c>
      <c r="F18" s="20" t="inlineStr">
        <is>
          <t>兩人每天約 NZ$120（自煮＋外食混合）</t>
        </is>
      </c>
    </row>
    <row r="19">
      <c r="B19" s="23" t="inlineStr">
        <is>
          <t>7 項指定活動</t>
        </is>
      </c>
      <c r="C19" s="24" t="n">
        <v>3864</v>
      </c>
      <c r="D19" s="25">
        <f>C19*$C$7</f>
        <v/>
      </c>
      <c r="E19" s="25">
        <f>D19/$C$6</f>
        <v/>
      </c>
      <c r="F19" s="23" t="inlineStr">
        <is>
          <t>見 05_Klook活動比價</t>
        </is>
      </c>
    </row>
    <row r="20">
      <c r="B20" s="20" t="inlineStr">
        <is>
          <t>停車／洗衣／雜支</t>
        </is>
      </c>
      <c r="C20" s="21" t="n">
        <v>200</v>
      </c>
      <c r="D20" s="22">
        <f>C20*$C$7</f>
        <v/>
      </c>
      <c r="E20" s="22">
        <f>D20/$C$6</f>
        <v/>
      </c>
      <c r="F20" s="20" t="inlineStr">
        <is>
          <t>緩衝</t>
        </is>
      </c>
    </row>
    <row r="21" ht="24" customHeight="1">
      <c r="B21" s="26" t="inlineStr">
        <is>
          <t>合計（建議規格）</t>
        </is>
      </c>
      <c r="C21" s="27">
        <f>SUM(C12:C20)</f>
        <v/>
      </c>
      <c r="D21" s="28">
        <f>SUM(D12:D20)</f>
        <v/>
      </c>
      <c r="E21" s="28">
        <f>D21/$C$6</f>
        <v/>
      </c>
      <c r="F21" s="26" t="inlineStr">
        <is>
          <t>建議兩人帶 32–34 萬，含清明機票溢價與天氣改期</t>
        </is>
      </c>
    </row>
    <row r="22">
      <c r="B22" s="29" t="inlineStr">
        <is>
          <t>再加 10% 緩衝</t>
        </is>
      </c>
      <c r="C22" s="30">
        <f>C21*1.1</f>
        <v/>
      </c>
      <c r="D22" s="31">
        <f>D21*1.1</f>
        <v/>
      </c>
      <c r="E22" s="31">
        <f>D22/$C$6</f>
        <v/>
      </c>
      <c r="F22" s="29" t="inlineStr">
        <is>
          <t>冰川取消改期、油價、隱士晚餐都算進去</t>
        </is>
      </c>
    </row>
    <row r="24">
      <c r="B24" s="9" t="inlineStr">
        <is>
          <t>三種住法差多少（其他項目相同）</t>
        </is>
      </c>
    </row>
    <row r="25">
      <c r="B25" s="3" t="inlineStr">
        <is>
          <t>住法</t>
        </is>
      </c>
      <c r="C25" s="3" t="inlineStr">
        <is>
          <t>住宿兩人 TWD</t>
        </is>
      </c>
      <c r="D25" s="3" t="inlineStr">
        <is>
          <t>活動兩人 TWD</t>
        </is>
      </c>
      <c r="E25" s="3" t="inlineStr">
        <is>
          <t>全程兩人約</t>
        </is>
      </c>
      <c r="F25" s="3" t="inlineStr">
        <is>
          <t>每人約</t>
        </is>
      </c>
      <c r="G25" s="3" t="inlineStr">
        <is>
          <t>備註</t>
        </is>
      </c>
    </row>
    <row r="26">
      <c r="B26" s="23" t="inlineStr">
        <is>
          <t>A. 全程 motel／有廚房</t>
        </is>
      </c>
      <c r="C26" s="25" t="n">
        <v>42000</v>
      </c>
      <c r="D26" s="25" t="n">
        <v>62000</v>
      </c>
      <c r="E26" s="25">
        <f>$D$21-45720-69552+C26+D26</f>
        <v/>
      </c>
      <c r="F26" s="25">
        <f>E26/$C$6</f>
        <v/>
      </c>
      <c r="G26" s="23" t="inlineStr">
        <is>
          <t>省一點仍做滿 7 項活動；庫克山不住隱士</t>
        </is>
      </c>
    </row>
    <row r="27">
      <c r="B27" s="32" t="inlineStr">
        <is>
          <t>B. 建議：隱士山景 1 晚＋蒂卡波湖景</t>
        </is>
      </c>
      <c r="C27" s="33" t="n">
        <v>45720</v>
      </c>
      <c r="D27" s="33" t="n">
        <v>69552</v>
      </c>
      <c r="E27" s="33">
        <f>$D$21-45720-69552+C27+D27</f>
        <v/>
      </c>
      <c r="F27" s="33">
        <f>E27/$C$6</f>
        <v/>
      </c>
      <c r="G27" s="32" t="inlineStr">
        <is>
          <t>本表主方案。隱士一定選有庫克山景的房</t>
        </is>
      </c>
    </row>
    <row r="28">
      <c r="B28" s="23" t="inlineStr">
        <is>
          <t>C. 全程飯店級（Peppers／隱士／Te Waonui）</t>
        </is>
      </c>
      <c r="C28" s="25" t="n">
        <v>90000</v>
      </c>
      <c r="D28" s="25" t="n">
        <v>69552</v>
      </c>
      <c r="E28" s="25">
        <f>$D$21-45720-69552+C28+D28</f>
        <v/>
      </c>
      <c r="F28" s="25">
        <f>E28/$C$6</f>
        <v/>
      </c>
      <c r="G28" s="23" t="inlineStr">
        <is>
          <t>房間舒適，風景不會再翻倍</t>
        </is>
      </c>
    </row>
    <row r="30" ht="20" customHeight="1">
      <c r="B30" s="34" t="inlineStr">
        <is>
          <t>清明連假出發：機票常比 4 月下旬貴約 NT$1.0–1.4 萬／人。若把出發改到 4/7–4/8 或 4 月下旬，兩人可少 2–3 萬。
阿新原文 14 天每人含機票 NT$12–18.8 萬（未含你這 7 項全做）。本表把活動做滿後，每人約 14–16 萬（建議規格）。
最大三筆：機票、冰川 heli-hike（兩人約 3.2 萬）、住宿。</t>
        </is>
      </c>
      <c r="C30" s="87" t="n"/>
      <c r="D30" s="87" t="n"/>
      <c r="E30" s="87" t="n"/>
      <c r="F30" s="87" t="n"/>
      <c r="G30" s="88" t="n"/>
    </row>
    <row r="31" ht="20" customHeight="1">
      <c r="B31" s="89" t="n"/>
      <c r="G31" s="90" t="n"/>
    </row>
    <row r="32" ht="20" customHeight="1">
      <c r="B32" s="91" t="n"/>
      <c r="C32" s="92" t="n"/>
      <c r="D32" s="92" t="n"/>
      <c r="E32" s="92" t="n"/>
      <c r="F32" s="92" t="n"/>
      <c r="G32" s="93" t="n"/>
    </row>
  </sheetData>
  <mergeCells count="4">
    <mergeCell ref="B3:G3"/>
    <mergeCell ref="B2:G2"/>
    <mergeCell ref="B24:G24"/>
    <mergeCell ref="B30:G32"/>
  </mergeCells>
  <pageMargins left="0.75" right="0.75" top="1" bottom="1" header="0.5" footer="0.5"/>
  <pageSetup orientation="landscape" paperSize="9" fitToHeight="0" fitToWidth="1"/>
  <headerFooter>
    <oddHeader>&amp;LNZ South Island 14-day budget</oddHeader>
    <oddFooter>&amp;RPage &amp;P /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Q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22" customWidth="1" min="4" max="4"/>
    <col width="8" customWidth="1" min="5" max="5"/>
    <col width="46" customWidth="1" min="6" max="6"/>
    <col width="28" customWidth="1" min="7" max="7"/>
    <col width="14" customWidth="1" min="8" max="8"/>
    <col width="14" customWidth="1" min="9" max="9"/>
    <col width="13" customWidth="1" min="10" max="10"/>
    <col width="12" customWidth="1" min="11" max="11"/>
    <col width="13" customWidth="1" min="12" max="12"/>
    <col width="14" customWidth="1" min="13" max="13"/>
    <col width="14" customWidth="1" min="14" max="14"/>
    <col width="12" customWidth="1" min="15" max="15"/>
    <col width="32" customWidth="1" min="16" max="16"/>
    <col width="40" customWidth="1" min="17" max="17"/>
  </cols>
  <sheetData>
    <row r="1" ht="22" customHeight="1">
      <c r="A1" s="35" t="inlineStr">
        <is>
          <t>14 天環島逐日花費（兩人）｜基督城進出、順時針｜黃色＝可改數字｜橘色列＝天氣／車程高風險</t>
        </is>
      </c>
    </row>
    <row r="2" ht="32" customHeight="1">
      <c r="A2" s="36" t="inlineStr">
        <is>
          <t>日</t>
        </is>
      </c>
      <c r="B2" s="36" t="inlineStr">
        <is>
          <t>日期範例
(2027)</t>
        </is>
      </c>
      <c r="C2" s="36" t="inlineStr">
        <is>
          <t>過夜城市</t>
        </is>
      </c>
      <c r="D2" s="36" t="inlineStr">
        <is>
          <t>車程</t>
        </is>
      </c>
      <c r="E2" s="36" t="inlineStr">
        <is>
          <t>公里</t>
        </is>
      </c>
      <c r="F2" s="36" t="inlineStr">
        <is>
          <t>白天行程</t>
        </is>
      </c>
      <c r="G2" s="36" t="inlineStr">
        <is>
          <t>指定活動</t>
        </is>
      </c>
      <c r="H2" s="36" t="inlineStr">
        <is>
          <t>活動兩人 NZD</t>
        </is>
      </c>
      <c r="I2" s="36" t="inlineStr">
        <is>
          <t>住宿兩人 NZD</t>
        </is>
      </c>
      <c r="J2" s="36" t="inlineStr">
        <is>
          <t>餐食兩人 NZD</t>
        </is>
      </c>
      <c r="K2" s="36" t="inlineStr">
        <is>
          <t>油錢 NZD</t>
        </is>
      </c>
      <c r="L2" s="36" t="inlineStr">
        <is>
          <t>租車日攤 NZD</t>
        </is>
      </c>
      <c r="M2" s="36" t="inlineStr">
        <is>
          <t>當天兩人 NZD</t>
        </is>
      </c>
      <c r="N2" s="36" t="inlineStr">
        <is>
          <t>當天兩人 TWD</t>
        </is>
      </c>
      <c r="O2" s="36" t="inlineStr">
        <is>
          <t>每人 TWD</t>
        </is>
      </c>
      <c r="P2" s="36" t="inlineStr">
        <is>
          <t>住宿建議</t>
        </is>
      </c>
      <c r="Q2" s="36" t="inlineStr">
        <is>
          <t>風險／備註</t>
        </is>
      </c>
    </row>
    <row r="3" ht="62" customHeight="1">
      <c r="A3" s="37" t="n">
        <v>1</v>
      </c>
      <c r="B3" s="38" t="inlineStr">
        <is>
          <t>4/8 四</t>
        </is>
      </c>
      <c r="C3" s="38" t="inlineStr">
        <is>
          <t>凱庫拉</t>
        </is>
      </c>
      <c r="D3" s="38" t="inlineStr">
        <is>
          <t>CHC→Kaikoura 2.5h</t>
        </is>
      </c>
      <c r="E3" s="38" t="n">
        <v>180</v>
      </c>
      <c r="F3" s="39" t="inlineStr">
        <is>
          <t>上午抵基督城、取車、超市補貨。下午沿海北上凱庫拉。若班機早到，可趕下午賞鯨；晚到則隔天早上。新鮮龍蝦當晚餐。</t>
        </is>
      </c>
      <c r="G3" s="38" t="inlineStr">
        <is>
          <t>凱庫拉觀鯨 Whale Watch</t>
        </is>
      </c>
      <c r="H3" s="40" t="n">
        <v>370</v>
      </c>
      <c r="I3" s="40" t="n">
        <v>150</v>
      </c>
      <c r="J3" s="40" t="n">
        <v>120</v>
      </c>
      <c r="K3" s="40" t="n">
        <v>40</v>
      </c>
      <c r="L3" s="40" t="n">
        <v>120</v>
      </c>
      <c r="M3" s="40">
        <f>H3+I3+J3+K3+L3</f>
        <v/>
      </c>
      <c r="N3" s="41">
        <f>M3*'01_總覽'!$C$7</f>
        <v/>
      </c>
      <c r="O3" s="41">
        <f>N3/'01_總覽'!$C$6</f>
        <v/>
      </c>
      <c r="P3" s="38" t="inlineStr">
        <is>
          <t>Sudima / Anchor Inn 海濱 motel</t>
        </is>
      </c>
      <c r="Q3" s="38" t="inlineStr">
        <is>
          <t>班機下午到就不要排當日賞鯨。第一天右駕，開慢。</t>
        </is>
      </c>
    </row>
    <row r="4" ht="62" customHeight="1">
      <c r="A4" s="42" t="n">
        <v>2</v>
      </c>
      <c r="B4" s="43" t="inlineStr">
        <is>
          <t>4/9 五</t>
        </is>
      </c>
      <c r="C4" s="43" t="inlineStr">
        <is>
          <t>皮克頓／布倫亨</t>
        </is>
      </c>
      <c r="D4" s="43" t="inlineStr">
        <is>
          <t>Kaikoura→Picton 2.5h</t>
        </is>
      </c>
      <c r="E4" s="43" t="n">
        <v>155</v>
      </c>
      <c r="F4" s="44" t="inlineStr">
        <is>
          <t>早上補做賞鯨（若 D1 沒做）。沿 SH1 北上，午後馬爾堡酒莊（Cloudy Bay 可只拍照不品酒）。不住北島、不過海。</t>
        </is>
      </c>
      <c r="G4" s="43" t="inlineStr">
        <is>
          <t>（賞鯨備援日）</t>
        </is>
      </c>
      <c r="H4" s="45" t="n">
        <v>0</v>
      </c>
      <c r="I4" s="45" t="n">
        <v>140</v>
      </c>
      <c r="J4" s="45" t="n">
        <v>120</v>
      </c>
      <c r="K4" s="45" t="n">
        <v>35</v>
      </c>
      <c r="L4" s="45" t="n">
        <v>120</v>
      </c>
      <c r="M4" s="45">
        <f>H4+I4+J4+K4+L4</f>
        <v/>
      </c>
      <c r="N4" s="46">
        <f>M4*'01_總覽'!$C$7</f>
        <v/>
      </c>
      <c r="O4" s="46">
        <f>N4/'01_總覽'!$C$6</f>
        <v/>
      </c>
      <c r="P4" s="43" t="inlineStr">
        <is>
          <t>Ferrylink Motel / Beachcomber Inn</t>
        </is>
      </c>
      <c r="Q4" s="43" t="inlineStr">
        <is>
          <t>D1 已賞鯨則這天輕鬆。酒莊品酒後不要再開長途。</t>
        </is>
      </c>
    </row>
    <row r="5" ht="62" customHeight="1">
      <c r="A5" s="47" t="n">
        <v>3</v>
      </c>
      <c r="B5" s="48" t="inlineStr">
        <is>
          <t>4/10 六</t>
        </is>
      </c>
      <c r="C5" s="48" t="inlineStr">
        <is>
          <t>霍基蒂卡</t>
        </is>
      </c>
      <c r="D5" s="48" t="inlineStr">
        <is>
          <t>Picton→Hokitika 6–7h</t>
        </is>
      </c>
      <c r="E5" s="48" t="n">
        <v>430</v>
      </c>
      <c r="F5" s="49" t="inlineStr">
        <is>
          <t>全行程最長車日。經 SH6 西海岸：Pancake Rocks 薄餅岩（免費）、Hokitika Gorge 若時間夠。沿路加油。</t>
        </is>
      </c>
      <c r="G5" s="48" t="inlineStr">
        <is>
          <t>—</t>
        </is>
      </c>
      <c r="H5" s="50" t="n">
        <v>0</v>
      </c>
      <c r="I5" s="50" t="n">
        <v>140</v>
      </c>
      <c r="J5" s="50" t="n">
        <v>130</v>
      </c>
      <c r="K5" s="50" t="n">
        <v>90</v>
      </c>
      <c r="L5" s="50" t="n">
        <v>120</v>
      </c>
      <c r="M5" s="50">
        <f>H5+I5+J5+K5+L5</f>
        <v/>
      </c>
      <c r="N5" s="51">
        <f>M5*'01_總覽'!$C$7</f>
        <v/>
      </c>
      <c r="O5" s="51">
        <f>N5/'01_總覽'!$C$6</f>
        <v/>
      </c>
      <c r="P5" s="48" t="inlineStr">
        <is>
          <t>霍基蒂卡 motel NZ$120–160</t>
        </is>
      </c>
      <c r="Q5" s="48" t="inlineStr">
        <is>
          <t>車程超過阿新建議的 3.5h。可考慮砍皮克頓、D2 直接往西岸。</t>
        </is>
      </c>
    </row>
    <row r="6" ht="62" customHeight="1">
      <c r="A6" s="47" t="n">
        <v>4</v>
      </c>
      <c r="B6" s="48" t="inlineStr">
        <is>
          <t>4/11 日</t>
        </is>
      </c>
      <c r="C6" s="48" t="inlineStr">
        <is>
          <t>弗蘭茲約瑟夫</t>
        </is>
      </c>
      <c r="D6" s="48" t="inlineStr">
        <is>
          <t>Hokitika→Franz 2h</t>
        </is>
      </c>
      <c r="E6" s="48" t="n">
        <v>140</v>
      </c>
      <c r="F6" s="49" t="inlineStr">
        <is>
          <t>上午開到冰川村報到。Heli-hike 約半天（裝備全含）。下午若取消，改走免費谷底步道遠觀。</t>
        </is>
      </c>
      <c r="G6" s="48" t="inlineStr">
        <is>
          <t>弗蘭茲直升機冰川健行</t>
        </is>
      </c>
      <c r="H6" s="50" t="n">
        <v>1798</v>
      </c>
      <c r="I6" s="50" t="n">
        <v>180</v>
      </c>
      <c r="J6" s="50" t="n">
        <v>130</v>
      </c>
      <c r="K6" s="50" t="n">
        <v>30</v>
      </c>
      <c r="L6" s="50" t="n">
        <v>120</v>
      </c>
      <c r="M6" s="50">
        <f>H6+I6+J6+K6+L6</f>
        <v/>
      </c>
      <c r="N6" s="51">
        <f>M6*'01_總覽'!$C$7</f>
        <v/>
      </c>
      <c r="O6" s="51">
        <f>N6/'01_總覽'!$C$6</f>
        <v/>
      </c>
      <c r="P6" s="48" t="inlineStr">
        <is>
          <t>Franz Josef 中價 motel</t>
        </is>
      </c>
      <c r="Q6" s="48" t="inlineStr">
        <is>
          <t>【高風險】只住 1 晚，西岸取消率高。強烈建議改住 2 晚。</t>
        </is>
      </c>
    </row>
    <row r="7" ht="62" customHeight="1">
      <c r="A7" s="37" t="n">
        <v>5</v>
      </c>
      <c r="B7" s="38" t="inlineStr">
        <is>
          <t>4/12 一</t>
        </is>
      </c>
      <c r="C7" s="38" t="inlineStr">
        <is>
          <t>皇后鎮</t>
        </is>
      </c>
      <c r="D7" s="38" t="inlineStr">
        <is>
          <t>Franz→QT via Haast 4.5h</t>
        </is>
      </c>
      <c r="E7" s="38" t="n">
        <v>350</v>
      </c>
      <c r="F7" s="39" t="inlineStr">
        <is>
          <t>經 Haast Pass，本身是景點。下午抵皇后鎮湖邊散步、Fergburger。不排極限運動。</t>
        </is>
      </c>
      <c r="G7" s="38" t="inlineStr">
        <is>
          <t>—</t>
        </is>
      </c>
      <c r="H7" s="40" t="n">
        <v>0</v>
      </c>
      <c r="I7" s="40" t="n">
        <v>220</v>
      </c>
      <c r="J7" s="40" t="n">
        <v>140</v>
      </c>
      <c r="K7" s="40" t="n">
        <v>75</v>
      </c>
      <c r="L7" s="40" t="n">
        <v>120</v>
      </c>
      <c r="M7" s="40">
        <f>H7+I7+J7+K7+L7</f>
        <v/>
      </c>
      <c r="N7" s="41">
        <f>M7*'01_總覽'!$C$7</f>
        <v/>
      </c>
      <c r="O7" s="41">
        <f>N7/'01_總覽'!$C$6</f>
        <v/>
      </c>
      <c r="P7" s="38" t="inlineStr">
        <is>
          <t>Novotel / Holiday Inn Remarkables 或 motel</t>
        </is>
      </c>
      <c r="Q7" s="38" t="inlineStr">
        <is>
          <t>Haast 前先加油。這天不要排活動。</t>
        </is>
      </c>
    </row>
    <row r="8" ht="62" customHeight="1">
      <c r="A8" s="42" t="n">
        <v>6</v>
      </c>
      <c r="B8" s="43" t="inlineStr">
        <is>
          <t>4/13 二</t>
        </is>
      </c>
      <c r="C8" s="43" t="inlineStr">
        <is>
          <t>皇后鎮</t>
        </is>
      </c>
      <c r="D8" s="43" t="inlineStr">
        <is>
          <t>市區／箭鎮 0.5h</t>
        </is>
      </c>
      <c r="E8" s="43" t="n">
        <v>50</v>
      </c>
      <c r="F8" s="44" t="inlineStr">
        <is>
          <t>箭鎮楓紅（4 月正美）或 Skyline 纜車。不跳傘、不彈跳。晚上湖邊。</t>
        </is>
      </c>
      <c r="G8" s="43" t="inlineStr">
        <is>
          <t>纜車可選 NZ$40起（未列入指定活動）</t>
        </is>
      </c>
      <c r="H8" s="45" t="n">
        <v>0</v>
      </c>
      <c r="I8" s="45" t="n">
        <v>220</v>
      </c>
      <c r="J8" s="45" t="n">
        <v>140</v>
      </c>
      <c r="K8" s="45" t="n">
        <v>12</v>
      </c>
      <c r="L8" s="45" t="n">
        <v>120</v>
      </c>
      <c r="M8" s="45">
        <f>H8+I8+J8+K8+L8</f>
        <v/>
      </c>
      <c r="N8" s="46">
        <f>M8*'01_總覽'!$C$7</f>
        <v/>
      </c>
      <c r="O8" s="46">
        <f>N8/'01_總覽'!$C$6</f>
        <v/>
      </c>
      <c r="P8" s="43" t="inlineStr">
        <is>
          <t>同 D5，連住</t>
        </is>
      </c>
      <c r="Q8" s="43" t="inlineStr">
        <is>
          <t>4 月箭鎮很適合 chill。</t>
        </is>
      </c>
    </row>
    <row r="9" ht="62" customHeight="1">
      <c r="A9" s="37" t="n">
        <v>7</v>
      </c>
      <c r="B9" s="38" t="inlineStr">
        <is>
          <t>4/14 三</t>
        </is>
      </c>
      <c r="C9" s="38" t="inlineStr">
        <is>
          <t>皇后鎮</t>
        </is>
      </c>
      <c r="D9" s="38" t="inlineStr">
        <is>
          <t>QT↔Wanaka 往返 2h</t>
        </is>
      </c>
      <c r="E9" s="38" t="n">
        <v>140</v>
      </c>
      <c r="F9" s="39" t="inlineStr">
        <is>
          <t>瓦納卡當日來回：That Wanaka Tree、湖邊咖啡。不攻 Roy's Peak（5–6h）。傍晚回皇后鎮。</t>
        </is>
      </c>
      <c r="G9" s="38" t="inlineStr">
        <is>
          <t>—</t>
        </is>
      </c>
      <c r="H9" s="40" t="n">
        <v>0</v>
      </c>
      <c r="I9" s="40" t="n">
        <v>220</v>
      </c>
      <c r="J9" s="40" t="n">
        <v>130</v>
      </c>
      <c r="K9" s="40" t="n">
        <v>30</v>
      </c>
      <c r="L9" s="40" t="n">
        <v>120</v>
      </c>
      <c r="M9" s="40">
        <f>H9+I9+J9+K9+L9</f>
        <v/>
      </c>
      <c r="N9" s="41">
        <f>M9*'01_總覽'!$C$7</f>
        <v/>
      </c>
      <c r="O9" s="41">
        <f>N9/'01_總覽'!$C$6</f>
        <v/>
      </c>
      <c r="P9" s="38" t="inlineStr">
        <is>
          <t>同 D5，連住第 3 晚</t>
        </is>
      </c>
      <c r="Q9" s="38" t="inlineStr">
        <is>
          <t>Crown Range 冬天要雪鏈；4–5 月通常可過，雨天改走 Cromwell。</t>
        </is>
      </c>
    </row>
    <row r="10" ht="62" customHeight="1">
      <c r="A10" s="42" t="n">
        <v>8</v>
      </c>
      <c r="B10" s="43" t="inlineStr">
        <is>
          <t>4/15 四</t>
        </is>
      </c>
      <c r="C10" s="43" t="inlineStr">
        <is>
          <t>蒂阿瑙</t>
        </is>
      </c>
      <c r="D10" s="43" t="inlineStr">
        <is>
          <t>QT→Te Anau 2h</t>
        </is>
      </c>
      <c r="E10" s="43" t="n">
        <v>170</v>
      </c>
      <c r="F10" s="44" t="inlineStr">
        <is>
          <t>中午前抵達峽灣門戶。超市補米佛隔日食物（沿路沒店）。傍晚螢火蟲洞。</t>
        </is>
      </c>
      <c r="G10" s="43" t="inlineStr">
        <is>
          <t>蒂阿瑙螢火蟲洞</t>
        </is>
      </c>
      <c r="H10" s="45" t="n">
        <v>290</v>
      </c>
      <c r="I10" s="45" t="n">
        <v>180</v>
      </c>
      <c r="J10" s="45" t="n">
        <v>120</v>
      </c>
      <c r="K10" s="45" t="n">
        <v>38</v>
      </c>
      <c r="L10" s="45" t="n">
        <v>120</v>
      </c>
      <c r="M10" s="45">
        <f>H10+I10+J10+K10+L10</f>
        <v/>
      </c>
      <c r="N10" s="46">
        <f>M10*'01_總覽'!$C$7</f>
        <v/>
      </c>
      <c r="O10" s="46">
        <f>N10/'01_總覽'!$C$6</f>
        <v/>
      </c>
      <c r="P10" s="43" t="inlineStr">
        <is>
          <t>Distinction Te Anau / Lakefront Lodge</t>
        </is>
      </c>
      <c r="Q10" s="43" t="inlineStr">
        <is>
          <t>螢火蟲洞洞內禁拍。與米佛同一基地，不用多跑。</t>
        </is>
      </c>
    </row>
    <row r="11" ht="62" customHeight="1">
      <c r="A11" s="37" t="n">
        <v>9</v>
      </c>
      <c r="B11" s="38" t="inlineStr">
        <is>
          <t>4/16 五</t>
        </is>
      </c>
      <c r="C11" s="38" t="inlineStr">
        <is>
          <t>蒂阿瑙</t>
        </is>
      </c>
      <c r="D11" s="38" t="inlineStr">
        <is>
          <t>Te Anau↔Milford 往返 5h</t>
        </is>
      </c>
      <c r="E11" s="38" t="n">
        <v>240</v>
      </c>
      <c r="F11" s="39" t="inlineStr">
        <is>
          <t>07:00 出發自駕 SH94：Mirror Lakes、Homer Tunnel。碼頭搭 1.5–2h 遊船。傍晚回蒂阿瑙。</t>
        </is>
      </c>
      <c r="G11" s="38" t="inlineStr">
        <is>
          <t>米佛峽灣遊船（自駕＋船，不跟皇后鎮巴士）</t>
        </is>
      </c>
      <c r="H11" s="40" t="n">
        <v>350</v>
      </c>
      <c r="I11" s="40" t="n">
        <v>180</v>
      </c>
      <c r="J11" s="40" t="n">
        <v>130</v>
      </c>
      <c r="K11" s="40" t="n">
        <v>52</v>
      </c>
      <c r="L11" s="40" t="n">
        <v>120</v>
      </c>
      <c r="M11" s="40">
        <f>H11+I11+J11+K11+L11</f>
        <v/>
      </c>
      <c r="N11" s="41">
        <f>M11*'01_總覽'!$C$7</f>
        <v/>
      </c>
      <c r="O11" s="41">
        <f>N11/'01_總覽'!$C$6</f>
        <v/>
      </c>
      <c r="P11" s="38" t="inlineStr">
        <is>
          <t>同 D8，連住</t>
        </is>
      </c>
      <c r="Q11" s="38" t="inlineStr">
        <is>
          <t>自駕比皇后鎮一日遊少花約 NZ$230／人，也比較不累。</t>
        </is>
      </c>
    </row>
    <row r="12" ht="62" customHeight="1">
      <c r="A12" s="47" t="n">
        <v>10</v>
      </c>
      <c r="B12" s="48" t="inlineStr">
        <is>
          <t>4/17 六</t>
        </is>
      </c>
      <c r="C12" s="48" t="inlineStr">
        <is>
          <t>奧瑪魯</t>
        </is>
      </c>
      <c r="D12" s="48" t="inlineStr">
        <is>
          <t>Te Anau→Dunedin→Oamaru 5h</t>
        </is>
      </c>
      <c r="E12" s="48" t="n">
        <v>380</v>
      </c>
      <c r="F12" s="49" t="inlineStr">
        <is>
          <t>中午但尼丁火車站／Baldwin Street 停留 1–2h。傍晚到奧瑪魯看小藍企鵝歸巢。</t>
        </is>
      </c>
      <c r="G12" s="48" t="inlineStr">
        <is>
          <t>奧瑪魯小藍企鵝 Premium</t>
        </is>
      </c>
      <c r="H12" s="50" t="n">
        <v>140</v>
      </c>
      <c r="I12" s="50" t="n">
        <v>160</v>
      </c>
      <c r="J12" s="50" t="n">
        <v>120</v>
      </c>
      <c r="K12" s="50" t="n">
        <v>82</v>
      </c>
      <c r="L12" s="50" t="n">
        <v>120</v>
      </c>
      <c r="M12" s="50">
        <f>H12+I12+J12+K12+L12</f>
        <v/>
      </c>
      <c r="N12" s="51">
        <f>M12*'01_總覽'!$C$7</f>
        <v/>
      </c>
      <c r="O12" s="51">
        <f>N12/'01_總覽'!$C$6</f>
        <v/>
      </c>
      <c r="P12" s="48" t="inlineStr">
        <is>
          <t>奧瑪魯港口 motel，方便趕企鵝</t>
        </is>
      </c>
      <c r="Q12" s="48" t="inlineStr">
        <is>
          <t>阿新原文但尼丁＋奧瑪魯只 1 晚，企鵝要住奧瑪魯才趕得上。</t>
        </is>
      </c>
    </row>
    <row r="13" ht="62" customHeight="1">
      <c r="A13" s="47" t="n">
        <v>11</v>
      </c>
      <c r="B13" s="48" t="inlineStr">
        <is>
          <t>4/18 日</t>
        </is>
      </c>
      <c r="C13" s="48" t="inlineStr">
        <is>
          <t>庫克山</t>
        </is>
      </c>
      <c r="D13" s="48" t="inlineStr">
        <is>
          <t>Oamaru→Mt Cook 4h</t>
        </is>
      </c>
      <c r="E13" s="48" t="n">
        <v>250</v>
      </c>
      <c r="F13" s="49" t="inlineStr">
        <is>
          <t>經 Omarama 進山。下午 Glacier Explorers（隱士一樓報到）。或改早上走 Hooker Valley、下午船。</t>
        </is>
      </c>
      <c r="G13" s="48" t="inlineStr">
        <is>
          <t>庫克山冰川探險 Glacier Explorers</t>
        </is>
      </c>
      <c r="H13" s="50" t="n">
        <v>438</v>
      </c>
      <c r="I13" s="50" t="n">
        <v>340</v>
      </c>
      <c r="J13" s="50" t="n">
        <v>150</v>
      </c>
      <c r="K13" s="50" t="n">
        <v>55</v>
      </c>
      <c r="L13" s="50" t="n">
        <v>120</v>
      </c>
      <c r="M13" s="50">
        <f>H13+I13+J13+K13+L13</f>
        <v/>
      </c>
      <c r="N13" s="51">
        <f>M13*'01_總覽'!$C$7</f>
        <v/>
      </c>
      <c r="O13" s="51">
        <f>N13/'01_總覽'!$C$6</f>
        <v/>
      </c>
      <c r="P13" s="48" t="inlineStr">
        <is>
          <t>隱士飯店 Standard／Premium 山景</t>
        </is>
      </c>
      <c r="Q13" s="48" t="inlineStr">
        <is>
          <t>只住 1 晚很趕。隱士無景房不值得。晚餐貴，可接受。</t>
        </is>
      </c>
    </row>
    <row r="14" ht="62" customHeight="1">
      <c r="A14" s="42" t="n">
        <v>12</v>
      </c>
      <c r="B14" s="43" t="inlineStr">
        <is>
          <t>4/19 一</t>
        </is>
      </c>
      <c r="C14" s="43" t="inlineStr">
        <is>
          <t>蒂卡波</t>
        </is>
      </c>
      <c r="D14" s="43" t="inlineStr">
        <is>
          <t>Mt Cook→Tekapo 1.5h</t>
        </is>
      </c>
      <c r="E14" s="43" t="n">
        <v>105</v>
      </c>
      <c r="F14" s="44" t="inlineStr">
        <is>
          <t>早上 Hooker Valley（免費、必走）。經普卡基湖牛奶藍必停。傍晚牧羊人教堂，晚上約翰山觀星。</t>
        </is>
      </c>
      <c r="G14" s="43" t="inlineStr">
        <is>
          <t>Dark Sky Project 約翰山 Summit</t>
        </is>
      </c>
      <c r="H14" s="45" t="n">
        <v>478</v>
      </c>
      <c r="I14" s="45" t="n">
        <v>250</v>
      </c>
      <c r="J14" s="45" t="n">
        <v>120</v>
      </c>
      <c r="K14" s="45" t="n">
        <v>24</v>
      </c>
      <c r="L14" s="45" t="n">
        <v>120</v>
      </c>
      <c r="M14" s="45">
        <f>H14+I14+J14+K14+L14</f>
        <v/>
      </c>
      <c r="N14" s="46">
        <f>M14*'01_總覽'!$C$7</f>
        <v/>
      </c>
      <c r="O14" s="46">
        <f>N14/'01_總覽'!$C$6</f>
        <v/>
      </c>
      <c r="P14" s="43" t="inlineStr">
        <is>
          <t>湖景 motel 或 Peppers 入門房</t>
        </is>
      </c>
      <c r="Q14" s="43" t="inlineStr">
        <is>
          <t>觀星看雲。天氣不好有室內備援或部分退費。</t>
        </is>
      </c>
    </row>
    <row r="15" ht="62" customHeight="1">
      <c r="A15" s="37" t="n">
        <v>13</v>
      </c>
      <c r="B15" s="38" t="inlineStr">
        <is>
          <t>4/20 二</t>
        </is>
      </c>
      <c r="C15" s="38" t="inlineStr">
        <is>
          <t>基督城</t>
        </is>
      </c>
      <c r="D15" s="38" t="inlineStr">
        <is>
          <t>Tekapo→CHC 3.5h</t>
        </is>
      </c>
      <c r="E15" s="38" t="n">
        <v>227</v>
      </c>
      <c r="F15" s="39" t="inlineStr">
        <is>
          <t>蒂卡波上午逛完再開回基督城。還車前先加油（租車公司油箱規定）。住機場附近。</t>
        </is>
      </c>
      <c r="G15" s="38" t="inlineStr">
        <is>
          <t>—</t>
        </is>
      </c>
      <c r="H15" s="40" t="n">
        <v>0</v>
      </c>
      <c r="I15" s="40" t="n">
        <v>160</v>
      </c>
      <c r="J15" s="40" t="n">
        <v>120</v>
      </c>
      <c r="K15" s="40" t="n">
        <v>50</v>
      </c>
      <c r="L15" s="40" t="n">
        <v>120</v>
      </c>
      <c r="M15" s="40">
        <f>H15+I15+J15+K15+L15</f>
        <v/>
      </c>
      <c r="N15" s="41">
        <f>M15*'01_總覽'!$C$7</f>
        <v/>
      </c>
      <c r="O15" s="41">
        <f>N15/'01_總覽'!$C$6</f>
        <v/>
      </c>
      <c r="P15" s="38" t="inlineStr">
        <is>
          <t>CHC 機場 motel</t>
        </is>
      </c>
      <c r="Q15" s="38" t="inlineStr">
        <is>
          <t>隔天早班建議住機場 10 分鐘內。</t>
        </is>
      </c>
    </row>
    <row r="16" ht="62" customHeight="1">
      <c r="A16" s="42" t="n">
        <v>14</v>
      </c>
      <c r="B16" s="43" t="inlineStr">
        <is>
          <t>4/21 三</t>
        </is>
      </c>
      <c r="C16" s="43" t="inlineStr">
        <is>
          <t>回台</t>
        </is>
      </c>
      <c r="D16" s="43" t="inlineStr">
        <is>
          <t>當地 20km</t>
        </is>
      </c>
      <c r="E16" s="43" t="n">
        <v>20</v>
      </c>
      <c r="F16" s="44" t="inlineStr">
        <is>
          <t>還車、基督城機場出境。預留 2 小時以上。</t>
        </is>
      </c>
      <c r="G16" s="43" t="inlineStr">
        <is>
          <t>—</t>
        </is>
      </c>
      <c r="H16" s="45" t="n">
        <v>0</v>
      </c>
      <c r="I16" s="45" t="n">
        <v>0</v>
      </c>
      <c r="J16" s="45" t="n">
        <v>80</v>
      </c>
      <c r="K16" s="45" t="n">
        <v>6</v>
      </c>
      <c r="L16" s="45" t="n">
        <v>120</v>
      </c>
      <c r="M16" s="45">
        <f>H16+I16+J16+K16+L16</f>
        <v/>
      </c>
      <c r="N16" s="46">
        <f>M16*'01_總覽'!$C$7</f>
        <v/>
      </c>
      <c r="O16" s="46">
        <f>N16/'01_總覽'!$C$6</f>
        <v/>
      </c>
      <c r="P16" s="43" t="inlineStr">
        <is>
          <t>無住宿</t>
        </is>
      </c>
      <c r="Q16" s="43" t="inlineStr">
        <is>
          <t>還車前加滿油。</t>
        </is>
      </c>
    </row>
    <row r="17">
      <c r="A17" s="52" t="inlineStr"/>
      <c r="B17" s="52" t="inlineStr">
        <is>
          <t>合計</t>
        </is>
      </c>
      <c r="C17" s="52" t="inlineStr">
        <is>
          <t>13 晚</t>
        </is>
      </c>
      <c r="D17" s="52" t="inlineStr"/>
      <c r="E17" s="52">
        <f>SUM(E3:E16)</f>
        <v/>
      </c>
      <c r="F17" s="52" t="inlineStr">
        <is>
          <t>不含機票／簽證／保險</t>
        </is>
      </c>
      <c r="G17" s="52" t="inlineStr">
        <is>
          <t>7 項活動</t>
        </is>
      </c>
      <c r="H17" s="53">
        <f>SUM(H3:H16)</f>
        <v/>
      </c>
      <c r="I17" s="53">
        <f>SUM(I3:I16)</f>
        <v/>
      </c>
      <c r="J17" s="53">
        <f>SUM(J3:J16)</f>
        <v/>
      </c>
      <c r="K17" s="53">
        <f>SUM(K3:K16)</f>
        <v/>
      </c>
      <c r="L17" s="53">
        <f>SUM(L3:L16)</f>
        <v/>
      </c>
      <c r="M17" s="54">
        <f>SUM(M3:M16)</f>
        <v/>
      </c>
      <c r="N17" s="55">
        <f>M17*'01_總覽'!$C$7</f>
        <v/>
      </c>
      <c r="O17" s="56">
        <f>N17/'01_總覽'!$C$6</f>
        <v/>
      </c>
      <c r="P17" s="52" t="inlineStr"/>
      <c r="Q17" s="52" t="inlineStr">
        <is>
          <t>加上機票後看 01_總覽</t>
        </is>
      </c>
    </row>
    <row r="19">
      <c r="A19" s="57" t="inlineStr">
        <is>
          <t>日期範例從 2027/4/8（四）出發，避開清明最貴的 4/2–4/3。若一定要清明走，整表日期前移 5 天即可，住宿活動不變，機票一人約再加 8,000–10,000。
橘色列：D3 西海岸長途、D4 冰川只住一晚、D10 但尼丁＋企鵝同一天、D11 庫克山只住一晚。這四天最容易崩。
阿新原文 D5–D14 寫「與 10 天版相反順序」。本表已把它展開成可執行的 14 天，並把你的 7 項活動嵌進去。</t>
        </is>
      </c>
      <c r="B19" s="87" t="n"/>
      <c r="C19" s="87" t="n"/>
      <c r="D19" s="87" t="n"/>
      <c r="E19" s="87" t="n"/>
      <c r="F19" s="87" t="n"/>
      <c r="G19" s="87" t="n"/>
      <c r="H19" s="87" t="n"/>
      <c r="I19" s="87" t="n"/>
      <c r="J19" s="87" t="n"/>
      <c r="K19" s="87" t="n"/>
      <c r="L19" s="87" t="n"/>
      <c r="M19" s="87" t="n"/>
      <c r="N19" s="87" t="n"/>
      <c r="O19" s="87" t="n"/>
      <c r="P19" s="87" t="n"/>
      <c r="Q19" s="88" t="n"/>
    </row>
    <row r="20">
      <c r="A20" s="89" t="n"/>
      <c r="Q20" s="90" t="n"/>
    </row>
    <row r="21">
      <c r="A21" s="91" t="n"/>
      <c r="B21" s="92" t="n"/>
      <c r="C21" s="92" t="n"/>
      <c r="D21" s="92" t="n"/>
      <c r="E21" s="92" t="n"/>
      <c r="F21" s="92" t="n"/>
      <c r="G21" s="92" t="n"/>
      <c r="H21" s="92" t="n"/>
      <c r="I21" s="92" t="n"/>
      <c r="J21" s="92" t="n"/>
      <c r="K21" s="92" t="n"/>
      <c r="L21" s="92" t="n"/>
      <c r="M21" s="92" t="n"/>
      <c r="N21" s="92" t="n"/>
      <c r="O21" s="92" t="n"/>
      <c r="P21" s="92" t="n"/>
      <c r="Q21" s="93" t="n"/>
    </row>
  </sheetData>
  <autoFilter ref="A2:R16"/>
  <mergeCells count="2">
    <mergeCell ref="A1:Q1"/>
    <mergeCell ref="A19:Q21"/>
  </mergeCells>
  <pageMargins left="0.75" right="0.75" top="1" bottom="1" header="0.5" footer="0.5"/>
  <pageSetup orientation="landscape" paperSize="9" fitToHeight="0" fitToWidth="1"/>
  <headerFooter>
    <oddHeader>&amp;LNZ South Island 14-day budget</oddHeader>
    <oddFooter>&amp;RPage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3D6B4F"/>
    <outlinePr summaryBelow="1" summaryRight="1"/>
    <pageSetUpPr fitToPage="1"/>
  </sheetPr>
  <dimension ref="A1:J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12" customWidth="1" min="4" max="4"/>
    <col width="12" customWidth="1" min="5" max="5"/>
    <col width="12" customWidth="1" min="6" max="6"/>
    <col width="12" customWidth="1" min="7" max="7"/>
    <col width="36" customWidth="1" min="8" max="8"/>
    <col width="14" customWidth="1" min="9" max="9"/>
    <col width="48" customWidth="1" min="10" max="10"/>
  </cols>
  <sheetData>
    <row r="1" ht="22" customHeight="1">
      <c r="A1" s="58" t="inlineStr">
        <is>
          <t>13 晚住宿（兩人一間）｜4–5 月中價　隱士只升級有山景的那一晚</t>
        </is>
      </c>
    </row>
    <row r="2">
      <c r="A2" s="36" t="inlineStr">
        <is>
          <t>晚</t>
        </is>
      </c>
      <c r="B2" s="36" t="inlineStr">
        <is>
          <t>城市</t>
        </is>
      </c>
      <c r="C2" s="36" t="inlineStr">
        <is>
          <t>建議規格（本表採用）</t>
        </is>
      </c>
      <c r="D2" s="36" t="inlineStr">
        <is>
          <t>採用 NZD</t>
        </is>
      </c>
      <c r="E2" s="36" t="inlineStr">
        <is>
          <t>採用 TWD</t>
        </is>
      </c>
      <c r="F2" s="36" t="inlineStr">
        <is>
          <t>motel 低標</t>
        </is>
      </c>
      <c r="G2" s="36" t="inlineStr">
        <is>
          <t>飯店高標</t>
        </is>
      </c>
      <c r="H2" s="36" t="inlineStr">
        <is>
          <t>推薦類型</t>
        </is>
      </c>
      <c r="I2" s="36" t="inlineStr">
        <is>
          <t>訂房時機</t>
        </is>
      </c>
      <c r="J2" s="36" t="inlineStr">
        <is>
          <t>備註</t>
        </is>
      </c>
    </row>
    <row r="3">
      <c r="A3" s="23" t="n">
        <v>1</v>
      </c>
      <c r="B3" s="23" t="inlineStr">
        <is>
          <t>凱庫拉</t>
        </is>
      </c>
      <c r="C3" s="23" t="inlineStr">
        <is>
          <t>海濱 motel</t>
        </is>
      </c>
      <c r="D3" s="24" t="n">
        <v>150</v>
      </c>
      <c r="E3" s="25">
        <f>D3*'01_總覽'!$C$7</f>
        <v/>
      </c>
      <c r="F3" s="24" t="n">
        <v>100</v>
      </c>
      <c r="G3" s="24" t="n">
        <v>220</v>
      </c>
      <c r="H3" s="23" t="inlineStr">
        <is>
          <t>Sudima / Anchor Inn</t>
        </is>
      </c>
      <c r="I3" s="23" t="inlineStr">
        <is>
          <t>1 個月前</t>
        </is>
      </c>
      <c r="J3" s="23" t="inlineStr">
        <is>
          <t>賞鯨集合點附近，免趕路</t>
        </is>
      </c>
    </row>
    <row r="4">
      <c r="A4" s="20" t="n">
        <v>2</v>
      </c>
      <c r="B4" s="20" t="inlineStr">
        <is>
          <t>皮克頓／布倫亨</t>
        </is>
      </c>
      <c r="C4" s="20" t="inlineStr">
        <is>
          <t>碼頭或酒鄉 motel</t>
        </is>
      </c>
      <c r="D4" s="21" t="n">
        <v>140</v>
      </c>
      <c r="E4" s="22">
        <f>D4*'01_總覽'!$C$7</f>
        <v/>
      </c>
      <c r="F4" s="21" t="n">
        <v>100</v>
      </c>
      <c r="G4" s="21" t="n">
        <v>200</v>
      </c>
      <c r="H4" s="20" t="inlineStr">
        <is>
          <t>Ferrylink / Beachcomber</t>
        </is>
      </c>
      <c r="I4" s="20" t="inlineStr">
        <is>
          <t>3 週前</t>
        </is>
      </c>
      <c r="J4" s="20" t="inlineStr">
        <is>
          <t>不過海；只過一夜</t>
        </is>
      </c>
    </row>
    <row r="5">
      <c r="A5" s="23" t="n">
        <v>3</v>
      </c>
      <c r="B5" s="23" t="inlineStr">
        <is>
          <t>霍基蒂卡</t>
        </is>
      </c>
      <c r="C5" s="23" t="inlineStr">
        <is>
          <t>小鎮 motel</t>
        </is>
      </c>
      <c r="D5" s="24" t="n">
        <v>140</v>
      </c>
      <c r="E5" s="25">
        <f>D5*'01_總覽'!$C$7</f>
        <v/>
      </c>
      <c r="F5" s="24" t="n">
        <v>100</v>
      </c>
      <c r="G5" s="24" t="n">
        <v>180</v>
      </c>
      <c r="H5" s="23" t="inlineStr">
        <is>
          <t>有廚房 motel</t>
        </is>
      </c>
      <c r="I5" s="23" t="inlineStr">
        <is>
          <t>3 週前</t>
        </is>
      </c>
      <c r="J5" s="23" t="inlineStr">
        <is>
          <t>西岸選擇少，下雨也要有房</t>
        </is>
      </c>
    </row>
    <row r="6">
      <c r="A6" s="20" t="n">
        <v>4</v>
      </c>
      <c r="B6" s="20" t="inlineStr">
        <is>
          <t>弗蘭茲約瑟夫</t>
        </is>
      </c>
      <c r="C6" s="20" t="inlineStr">
        <is>
          <t>中價 motel</t>
        </is>
      </c>
      <c r="D6" s="21" t="n">
        <v>180</v>
      </c>
      <c r="E6" s="22">
        <f>D6*'01_總覽'!$C$7</f>
        <v/>
      </c>
      <c r="F6" s="21" t="n">
        <v>130</v>
      </c>
      <c r="G6" s="21" t="n">
        <v>280</v>
      </c>
      <c r="H6" s="20" t="inlineStr">
        <is>
          <t>Scenic / 一般 motel</t>
        </is>
      </c>
      <c r="I6" s="20" t="inlineStr">
        <is>
          <t>6–8 週前</t>
        </is>
      </c>
      <c r="J6" s="20" t="inlineStr">
        <is>
          <t>不必 Te Waonui；冰川不在窗邊</t>
        </is>
      </c>
    </row>
    <row r="7">
      <c r="A7" s="23" t="n">
        <v>5</v>
      </c>
      <c r="B7" s="23" t="inlineStr">
        <is>
          <t>皇后鎮</t>
        </is>
      </c>
      <c r="C7" s="23" t="inlineStr">
        <is>
          <t>市區或 Remarkables motel</t>
        </is>
      </c>
      <c r="D7" s="24" t="n">
        <v>220</v>
      </c>
      <c r="E7" s="25">
        <f>D7*'01_總覽'!$C$7</f>
        <v/>
      </c>
      <c r="F7" s="24" t="n">
        <v>160</v>
      </c>
      <c r="G7" s="24" t="n">
        <v>350</v>
      </c>
      <c r="H7" s="23" t="inlineStr">
        <is>
          <t>Holiday Inn Remarkables 自駕方便</t>
        </is>
      </c>
      <c r="I7" s="23" t="inlineStr">
        <is>
          <t>2 個月前</t>
        </is>
      </c>
      <c r="J7" s="23" t="inlineStr">
        <is>
          <t>連住 3 晚較划算</t>
        </is>
      </c>
    </row>
    <row r="8">
      <c r="A8" s="20" t="n">
        <v>6</v>
      </c>
      <c r="B8" s="20" t="inlineStr">
        <is>
          <t>皇后鎮</t>
        </is>
      </c>
      <c r="C8" s="20" t="inlineStr">
        <is>
          <t>同上連住</t>
        </is>
      </c>
      <c r="D8" s="21" t="n">
        <v>220</v>
      </c>
      <c r="E8" s="22">
        <f>D8*'01_總覽'!$C$7</f>
        <v/>
      </c>
      <c r="F8" s="21" t="n">
        <v>160</v>
      </c>
      <c r="G8" s="21" t="n">
        <v>350</v>
      </c>
      <c r="H8" s="20" t="inlineStr">
        <is>
          <t>同上</t>
        </is>
      </c>
      <c r="I8" s="20" t="inlineStr">
        <is>
          <t>同上</t>
        </is>
      </c>
      <c r="J8" s="20" t="inlineStr">
        <is>
          <t>有廚房可自煮，壓餐費</t>
        </is>
      </c>
    </row>
    <row r="9">
      <c r="A9" s="23" t="n">
        <v>7</v>
      </c>
      <c r="B9" s="23" t="inlineStr">
        <is>
          <t>皇后鎮</t>
        </is>
      </c>
      <c r="C9" s="23" t="inlineStr">
        <is>
          <t>同上連住</t>
        </is>
      </c>
      <c r="D9" s="24" t="n">
        <v>220</v>
      </c>
      <c r="E9" s="25">
        <f>D9*'01_總覽'!$C$7</f>
        <v/>
      </c>
      <c r="F9" s="24" t="n">
        <v>160</v>
      </c>
      <c r="G9" s="24" t="n">
        <v>350</v>
      </c>
      <c r="H9" s="23" t="inlineStr">
        <is>
          <t>同上</t>
        </is>
      </c>
      <c r="I9" s="23" t="inlineStr">
        <is>
          <t>同上</t>
        </is>
      </c>
      <c r="J9" s="23" t="inlineStr">
        <is>
          <t>瓦納卡當日來回，行李不用搬</t>
        </is>
      </c>
    </row>
    <row r="10">
      <c r="A10" s="20" t="n">
        <v>8</v>
      </c>
      <c r="B10" s="20" t="inlineStr">
        <is>
          <t>蒂阿瑙</t>
        </is>
      </c>
      <c r="C10" s="20" t="inlineStr">
        <is>
          <t>湖畔 motel／lodge</t>
        </is>
      </c>
      <c r="D10" s="21" t="n">
        <v>180</v>
      </c>
      <c r="E10" s="22">
        <f>D10*'01_總覽'!$C$7</f>
        <v/>
      </c>
      <c r="F10" s="21" t="n">
        <v>120</v>
      </c>
      <c r="G10" s="21" t="n">
        <v>250</v>
      </c>
      <c r="H10" s="20" t="inlineStr">
        <is>
          <t>Lakefront Lodge / Distinction</t>
        </is>
      </c>
      <c r="I10" s="20" t="inlineStr">
        <is>
          <t>6 週前</t>
        </is>
      </c>
      <c r="J10" s="20" t="inlineStr">
        <is>
          <t>米佛＋螢火蟲基地</t>
        </is>
      </c>
    </row>
    <row r="11">
      <c r="A11" s="23" t="n">
        <v>9</v>
      </c>
      <c r="B11" s="23" t="inlineStr">
        <is>
          <t>蒂阿瑙</t>
        </is>
      </c>
      <c r="C11" s="23" t="inlineStr">
        <is>
          <t>同上連住</t>
        </is>
      </c>
      <c r="D11" s="24" t="n">
        <v>180</v>
      </c>
      <c r="E11" s="25">
        <f>D11*'01_總覽'!$C$7</f>
        <v/>
      </c>
      <c r="F11" s="24" t="n">
        <v>120</v>
      </c>
      <c r="G11" s="24" t="n">
        <v>250</v>
      </c>
      <c r="H11" s="23" t="inlineStr">
        <is>
          <t>同上</t>
        </is>
      </c>
      <c r="I11" s="23" t="inlineStr">
        <is>
          <t>同上</t>
        </is>
      </c>
      <c r="J11" s="23" t="inlineStr">
        <is>
          <t>隔天早出發米佛</t>
        </is>
      </c>
    </row>
    <row r="12">
      <c r="A12" s="20" t="n">
        <v>10</v>
      </c>
      <c r="B12" s="20" t="inlineStr">
        <is>
          <t>奧瑪魯</t>
        </is>
      </c>
      <c r="C12" s="20" t="inlineStr">
        <is>
          <t>港口 motel</t>
        </is>
      </c>
      <c r="D12" s="21" t="n">
        <v>160</v>
      </c>
      <c r="E12" s="22">
        <f>D12*'01_總覽'!$C$7</f>
        <v/>
      </c>
      <c r="F12" s="21" t="n">
        <v>110</v>
      </c>
      <c r="G12" s="21" t="n">
        <v>200</v>
      </c>
      <c r="H12" s="20" t="inlineStr">
        <is>
          <t>靠近 Waterfront Rd</t>
        </is>
      </c>
      <c r="I12" s="20" t="inlineStr">
        <is>
          <t>3 週前</t>
        </is>
      </c>
      <c r="J12" s="20" t="inlineStr">
        <is>
          <t>傍晚趕企鵝，不要住但尼丁</t>
        </is>
      </c>
    </row>
    <row r="13">
      <c r="A13" s="59" t="n">
        <v>11</v>
      </c>
      <c r="B13" s="59" t="inlineStr">
        <is>
          <t>庫克山</t>
        </is>
      </c>
      <c r="C13" s="59" t="inlineStr">
        <is>
          <t>隱士 Standard／Premium 山景</t>
        </is>
      </c>
      <c r="D13" s="60" t="n">
        <v>340</v>
      </c>
      <c r="E13" s="61">
        <f>D13*'01_總覽'!$C$7</f>
        <v/>
      </c>
      <c r="F13" s="60" t="n">
        <v>220</v>
      </c>
      <c r="G13" s="60" t="n">
        <v>450</v>
      </c>
      <c r="H13" s="59" t="inlineStr">
        <is>
          <t>Hermitage Mt Cook View</t>
        </is>
      </c>
      <c r="I13" s="59" t="inlineStr">
        <is>
          <t>3–6 個月前</t>
        </is>
      </c>
      <c r="J13" s="59" t="inlineStr">
        <is>
          <t>無景房不值得。motel 備案 Aoraki Court NZ$200–280</t>
        </is>
      </c>
    </row>
    <row r="14">
      <c r="A14" s="20" t="n">
        <v>12</v>
      </c>
      <c r="B14" s="20" t="inlineStr">
        <is>
          <t>蒂卡波</t>
        </is>
      </c>
      <c r="C14" s="20" t="inlineStr">
        <is>
          <t>湖景 motel</t>
        </is>
      </c>
      <c r="D14" s="21" t="n">
        <v>250</v>
      </c>
      <c r="E14" s="22">
        <f>D14*'01_總覽'!$C$7</f>
        <v/>
      </c>
      <c r="F14" s="21" t="n">
        <v>180</v>
      </c>
      <c r="G14" s="21" t="n">
        <v>380</v>
      </c>
      <c r="H14" s="20" t="inlineStr">
        <is>
          <t>湖景 motel 或 Peppers 入門</t>
        </is>
      </c>
      <c r="I14" s="20" t="inlineStr">
        <is>
          <t>2 個月前</t>
        </is>
      </c>
      <c r="J14" s="20" t="inlineStr">
        <is>
          <t>無湖景可省 NZ$60–80</t>
        </is>
      </c>
    </row>
    <row r="15">
      <c r="A15" s="23" t="n">
        <v>13</v>
      </c>
      <c r="B15" s="23" t="inlineStr">
        <is>
          <t>基督城</t>
        </is>
      </c>
      <c r="C15" s="23" t="inlineStr">
        <is>
          <t>機場 motel</t>
        </is>
      </c>
      <c r="D15" s="24" t="n">
        <v>160</v>
      </c>
      <c r="E15" s="25">
        <f>D15*'01_總覽'!$C$7</f>
        <v/>
      </c>
      <c r="F15" s="24" t="n">
        <v>120</v>
      </c>
      <c r="G15" s="24" t="n">
        <v>220</v>
      </c>
      <c r="H15" s="23" t="inlineStr">
        <is>
          <t>機場 10 分鐘</t>
        </is>
      </c>
      <c r="I15" s="23" t="inlineStr">
        <is>
          <t>2 週前</t>
        </is>
      </c>
      <c r="J15" s="23" t="inlineStr">
        <is>
          <t>早班機必住這裡</t>
        </is>
      </c>
    </row>
    <row r="16">
      <c r="A16" s="62" t="n"/>
      <c r="B16" s="62" t="inlineStr">
        <is>
          <t>合計 13 晚</t>
        </is>
      </c>
      <c r="C16" s="62" t="n"/>
      <c r="D16" s="53">
        <f>SUM(D3:D15)</f>
        <v/>
      </c>
      <c r="E16" s="56">
        <f>D16*'01_總覽'!$C$7</f>
        <v/>
      </c>
      <c r="F16" s="53">
        <f>SUM(F3:F15)</f>
        <v/>
      </c>
      <c r="G16" s="53">
        <f>SUM(G3:G15)</f>
        <v/>
      </c>
      <c r="H16" s="62" t="n"/>
      <c r="I16" s="62" t="n"/>
      <c r="J16" s="62" t="inlineStr">
        <is>
          <t>本表採用中價＋隱士山景。低標全程 motel 約少 NT$1.2 萬；高標全程飯店約再多 NT$4 萬</t>
        </is>
      </c>
    </row>
    <row r="18">
      <c r="A18" s="63" t="inlineStr">
        <is>
          <t>隱士飯店（The Hermitage）2026/27 牌價：無景約 NZ$330–355、山景 Standard 約 NZ$330–340、Premium 約 NZ$400–450、Suite NZ$540。4 月仍是官網旺季（10–4月），5 月後常有早鳥。
實務：庫克山只值得為「窗外那座山」多付。兩晚都住隱士無景，體驗接近 motel。本表只排 1 晚山景，隔天走 Hooker Valley 後離開。
4 月蒂卡波、皇后鎮、冰川村仍要早訂。5 月彈性較大。</t>
        </is>
      </c>
      <c r="B18" s="87" t="n"/>
      <c r="C18" s="87" t="n"/>
      <c r="D18" s="87" t="n"/>
      <c r="E18" s="87" t="n"/>
      <c r="F18" s="87" t="n"/>
      <c r="G18" s="87" t="n"/>
      <c r="H18" s="87" t="n"/>
      <c r="I18" s="87" t="n"/>
      <c r="J18" s="88" t="n"/>
    </row>
    <row r="19">
      <c r="A19" s="89" t="n"/>
      <c r="J19" s="90" t="n"/>
    </row>
    <row r="20">
      <c r="A20" s="91" t="n"/>
      <c r="B20" s="92" t="n"/>
      <c r="C20" s="92" t="n"/>
      <c r="D20" s="92" t="n"/>
      <c r="E20" s="92" t="n"/>
      <c r="F20" s="92" t="n"/>
      <c r="G20" s="92" t="n"/>
      <c r="H20" s="92" t="n"/>
      <c r="I20" s="92" t="n"/>
      <c r="J20" s="93" t="n"/>
    </row>
  </sheetData>
  <mergeCells count="2">
    <mergeCell ref="A1:J1"/>
    <mergeCell ref="A18:J20"/>
  </mergeCells>
  <pageMargins left="0.75" right="0.75" top="1" bottom="1" header="0.5" footer="0.5"/>
  <pageSetup orientation="landscape" paperSize="9" fitToHeight="0" fitToWidth="1"/>
  <headerFooter>
    <oddHeader>&amp;LNZ South Island 14-day budget</oddHeader>
    <oddFooter>&amp;RPage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D97706"/>
    <outlinePr summaryBelow="1" summaryRight="1"/>
    <pageSetUpPr fitToPage="1"/>
  </sheetPr>
  <dimension ref="A1:G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2" customWidth="1" min="3" max="3"/>
    <col width="3" customWidth="1" min="4" max="4"/>
    <col width="6" customWidth="1" min="5" max="5"/>
    <col width="28" customWidth="1" min="6" max="6"/>
    <col width="10" customWidth="1" min="7" max="7"/>
  </cols>
  <sheetData>
    <row r="1">
      <c r="A1" s="64" t="inlineStr">
        <is>
          <t>租車 14 天（基督城取還，無異地費）＋油錢</t>
        </is>
      </c>
    </row>
    <row r="3">
      <c r="A3" s="65" t="inlineStr">
        <is>
          <t>租車假設（可改黃格）</t>
        </is>
      </c>
      <c r="E3" s="65" t="inlineStr">
        <is>
          <t>每日公里（對應 02 分頁）</t>
        </is>
      </c>
    </row>
    <row r="4">
      <c r="A4" s="3" t="inlineStr">
        <is>
          <t>項目</t>
        </is>
      </c>
      <c r="B4" s="3" t="inlineStr">
        <is>
          <t>數值</t>
        </is>
      </c>
      <c r="C4" s="3" t="inlineStr">
        <is>
          <t>說明</t>
        </is>
      </c>
      <c r="E4" s="3" t="inlineStr">
        <is>
          <t>日</t>
        </is>
      </c>
      <c r="F4" s="3" t="inlineStr">
        <is>
          <t>路段</t>
        </is>
      </c>
      <c r="G4" s="3" t="inlineStr">
        <is>
          <t>公里</t>
        </is>
      </c>
    </row>
    <row r="5">
      <c r="A5" s="8" t="inlineStr">
        <is>
          <t>日租金（小車，未含升級險）</t>
        </is>
      </c>
      <c r="B5" s="66" t="n">
        <v>70</v>
      </c>
      <c r="C5" s="8" t="inlineStr">
        <is>
          <t>NZD／天，4–5 月常見帶</t>
        </is>
      </c>
      <c r="E5" s="67" t="n">
        <v>1</v>
      </c>
      <c r="F5" s="67" t="inlineStr">
        <is>
          <t>CHC→Kaikoura 2.5h</t>
        </is>
      </c>
      <c r="G5" s="67" t="n">
        <v>180</v>
      </c>
    </row>
    <row r="6">
      <c r="A6" s="8" t="inlineStr">
        <is>
          <t>SCDW 全險／免自負額</t>
        </is>
      </c>
      <c r="B6" s="66" t="n">
        <v>30</v>
      </c>
      <c r="C6" s="8" t="inlineStr">
        <is>
          <t>南島碎石路建議必加</t>
        </is>
      </c>
      <c r="E6" s="68" t="n">
        <v>2</v>
      </c>
      <c r="F6" s="68" t="inlineStr">
        <is>
          <t>Kaikoura→Picton 2.5h</t>
        </is>
      </c>
      <c r="G6" s="68" t="n">
        <v>155</v>
      </c>
    </row>
    <row r="7">
      <c r="A7" s="8" t="inlineStr">
        <is>
          <t>租車天數</t>
        </is>
      </c>
      <c r="B7" s="59" t="n">
        <v>14</v>
      </c>
      <c r="C7" s="8" t="inlineStr">
        <is>
          <t>含取還日</t>
        </is>
      </c>
      <c r="E7" s="67" t="n">
        <v>3</v>
      </c>
      <c r="F7" s="67" t="inlineStr">
        <is>
          <t>Picton→Hokitika 6–7h</t>
        </is>
      </c>
      <c r="G7" s="67" t="n">
        <v>430</v>
      </c>
    </row>
    <row r="8">
      <c r="A8" s="8" t="inlineStr">
        <is>
          <t>異地還車</t>
        </is>
      </c>
      <c r="B8" s="69" t="n">
        <v>0</v>
      </c>
      <c r="C8" s="8" t="inlineStr">
        <is>
          <t>基督城進出＝0；若改皇后鎮出約 150–400</t>
        </is>
      </c>
      <c r="E8" s="68" t="n">
        <v>4</v>
      </c>
      <c r="F8" s="68" t="inlineStr">
        <is>
          <t>Hokitika→Franz 2h</t>
        </is>
      </c>
      <c r="G8" s="68" t="n">
        <v>140</v>
      </c>
    </row>
    <row r="9">
      <c r="A9" s="8" t="inlineStr">
        <is>
          <t>油耗 L/100km</t>
        </is>
      </c>
      <c r="B9" s="59" t="n">
        <v>8</v>
      </c>
      <c r="C9" s="8" t="inlineStr">
        <is>
          <t>Corolla／Yaris 等級</t>
        </is>
      </c>
      <c r="E9" s="67" t="n">
        <v>5</v>
      </c>
      <c r="F9" s="67" t="inlineStr">
        <is>
          <t>Franz→QT via Haast 4.5h</t>
        </is>
      </c>
      <c r="G9" s="67" t="n">
        <v>350</v>
      </c>
    </row>
    <row r="10">
      <c r="A10" s="8" t="inlineStr">
        <is>
          <t>油價 NZD／公升</t>
        </is>
      </c>
      <c r="B10" s="66" t="n">
        <v>2.8</v>
      </c>
      <c r="C10" s="8" t="inlineStr">
        <is>
          <t>2026 南島常見 2.6–3.0</t>
        </is>
      </c>
      <c r="E10" s="68" t="n">
        <v>6</v>
      </c>
      <c r="F10" s="68" t="inlineStr">
        <is>
          <t>市區／箭鎮 0.5h</t>
        </is>
      </c>
      <c r="G10" s="68" t="n">
        <v>50</v>
      </c>
    </row>
    <row r="11">
      <c r="A11" s="8" t="inlineStr">
        <is>
          <t>預估總公里</t>
        </is>
      </c>
      <c r="B11" s="59" t="n">
        <v>2837</v>
      </c>
      <c r="C11" s="8" t="inlineStr">
        <is>
          <t>環島＋米佛往返＋瓦納卡來回</t>
        </is>
      </c>
      <c r="E11" s="67" t="n">
        <v>7</v>
      </c>
      <c r="F11" s="67" t="inlineStr">
        <is>
          <t>QT↔Wanaka 往返 2h</t>
        </is>
      </c>
      <c r="G11" s="67" t="n">
        <v>140</v>
      </c>
    </row>
    <row r="12">
      <c r="E12" s="68" t="n">
        <v>8</v>
      </c>
      <c r="F12" s="68" t="inlineStr">
        <is>
          <t>QT→Te Anau 2h</t>
        </is>
      </c>
      <c r="G12" s="68" t="n">
        <v>170</v>
      </c>
    </row>
    <row r="13">
      <c r="A13" s="65" t="inlineStr">
        <is>
          <t>試算</t>
        </is>
      </c>
      <c r="E13" s="67" t="n">
        <v>9</v>
      </c>
      <c r="F13" s="67" t="inlineStr">
        <is>
          <t>Te Anau↔Milford 往返 5h</t>
        </is>
      </c>
      <c r="G13" s="67" t="n">
        <v>240</v>
      </c>
    </row>
    <row r="14">
      <c r="A14" s="3" t="inlineStr">
        <is>
          <t>項目</t>
        </is>
      </c>
      <c r="B14" s="3" t="inlineStr">
        <is>
          <t>NZD</t>
        </is>
      </c>
      <c r="C14" s="3" t="inlineStr">
        <is>
          <t>TWD</t>
        </is>
      </c>
      <c r="E14" s="68" t="n">
        <v>10</v>
      </c>
      <c r="F14" s="68" t="inlineStr">
        <is>
          <t>Te Anau→Dunedin→Oamaru 5h</t>
        </is>
      </c>
      <c r="G14" s="68" t="n">
        <v>380</v>
      </c>
    </row>
    <row r="15">
      <c r="A15" s="11" t="inlineStr">
        <is>
          <t>租金小計</t>
        </is>
      </c>
      <c r="B15" s="70">
        <f>B5*B7</f>
        <v/>
      </c>
      <c r="C15" s="71">
        <f>B15*'01_總覽'!$C$7</f>
        <v/>
      </c>
      <c r="E15" s="67" t="n">
        <v>11</v>
      </c>
      <c r="F15" s="67" t="inlineStr">
        <is>
          <t>Oamaru→Mt Cook 4h</t>
        </is>
      </c>
      <c r="G15" s="67" t="n">
        <v>250</v>
      </c>
    </row>
    <row r="16">
      <c r="A16" s="11" t="inlineStr">
        <is>
          <t>保險小計</t>
        </is>
      </c>
      <c r="B16" s="70">
        <f>B6*B7</f>
        <v/>
      </c>
      <c r="C16" s="71">
        <f>B16*'01_總覽'!$C$7</f>
        <v/>
      </c>
      <c r="E16" s="68" t="n">
        <v>12</v>
      </c>
      <c r="F16" s="68" t="inlineStr">
        <is>
          <t>Mt Cook→Tekapo 1.5h</t>
        </is>
      </c>
      <c r="G16" s="68" t="n">
        <v>105</v>
      </c>
    </row>
    <row r="17">
      <c r="A17" s="11" t="inlineStr">
        <is>
          <t>異地還車</t>
        </is>
      </c>
      <c r="B17" s="70">
        <f>B8</f>
        <v/>
      </c>
      <c r="C17" s="71">
        <f>B17*'01_總覽'!$C$7</f>
        <v/>
      </c>
      <c r="E17" s="67" t="n">
        <v>13</v>
      </c>
      <c r="F17" s="67" t="inlineStr">
        <is>
          <t>Tekapo→CHC 3.5h</t>
        </is>
      </c>
      <c r="G17" s="67" t="n">
        <v>227</v>
      </c>
    </row>
    <row r="18">
      <c r="A18" s="72" t="inlineStr">
        <is>
          <t>租車合計</t>
        </is>
      </c>
      <c r="B18" s="54">
        <f>B15+B16+B17</f>
        <v/>
      </c>
      <c r="C18" s="55">
        <f>B18*'01_總覽'!$C$7</f>
        <v/>
      </c>
      <c r="E18" s="68" t="n">
        <v>14</v>
      </c>
      <c r="F18" s="68" t="inlineStr">
        <is>
          <t>當地 20km</t>
        </is>
      </c>
      <c r="G18" s="68" t="n">
        <v>20</v>
      </c>
    </row>
    <row r="19">
      <c r="A19" s="11" t="inlineStr">
        <is>
          <t>油耗公升</t>
        </is>
      </c>
      <c r="B19" s="73">
        <f>B11*B9/100</f>
        <v/>
      </c>
      <c r="C19" s="71">
        <f>B19*'01_總覽'!$C$7</f>
        <v/>
      </c>
      <c r="F19" s="62" t="inlineStr">
        <is>
          <t>合計</t>
        </is>
      </c>
      <c r="G19" s="62">
        <f>SUM(G5:G18)</f>
        <v/>
      </c>
    </row>
    <row r="20">
      <c r="A20" s="11" t="inlineStr">
        <is>
          <t>油錢</t>
        </is>
      </c>
      <c r="B20" s="70">
        <f>B19*B10</f>
        <v/>
      </c>
      <c r="C20" s="71">
        <f>B20*'01_總覽'!$C$7</f>
        <v/>
      </c>
    </row>
    <row r="21">
      <c r="A21" s="72" t="inlineStr">
        <is>
          <t>租車＋油 兩人</t>
        </is>
      </c>
      <c r="B21" s="54">
        <f>B18+B20</f>
        <v/>
      </c>
      <c r="C21" s="55">
        <f>B21*'01_總覽'!$C$7</f>
        <v/>
      </c>
    </row>
    <row r="22">
      <c r="A22" s="72" t="inlineStr">
        <is>
          <t>每人分攤</t>
        </is>
      </c>
      <c r="B22" s="54">
        <f>B21/'01_總覽'!$C$6</f>
        <v/>
      </c>
      <c r="C22" s="55">
        <f>B22*'01_總覽'!$C$7</f>
        <v/>
      </c>
    </row>
    <row r="24">
      <c r="A24" s="63" t="inlineStr">
        <is>
          <t>比價：Airport Rentals／各公司官網。南島碎石路常見擋風玻璃裂，SCDW 不要省。
信用卡租車押金常見 NZ$1,000–2,500，出發前跟銀行說一聲。
國際駕照＋台灣駕照正本。靠左行駛，第一天不要開夜路。
偏遠路段（Haast、Lindis、米佛 SH94）看到站就加油。冬季 Crown Range 可能要雪鏈，4–5 月通常不用。
本表小車即可。若 5 月山區仍可能下雪、或想更穩，改 SUV 每天再加約 NZ$30–60。</t>
        </is>
      </c>
      <c r="B24" s="87" t="n"/>
      <c r="C24" s="88" t="n"/>
    </row>
    <row r="25">
      <c r="A25" s="89" t="n"/>
      <c r="C25" s="90" t="n"/>
    </row>
    <row r="26">
      <c r="A26" s="89" t="n"/>
      <c r="C26" s="90" t="n"/>
    </row>
    <row r="27">
      <c r="A27" s="89" t="n"/>
      <c r="C27" s="90" t="n"/>
    </row>
    <row r="28">
      <c r="A28" s="91" t="n"/>
      <c r="B28" s="92" t="n"/>
      <c r="C28" s="93" t="n"/>
    </row>
  </sheetData>
  <mergeCells count="4">
    <mergeCell ref="A24:C28"/>
    <mergeCell ref="A3:C3"/>
    <mergeCell ref="A1:G1"/>
    <mergeCell ref="E3:G3"/>
  </mergeCells>
  <pageMargins left="0.75" right="0.75" top="1" bottom="1" header="0.5" footer="0.5"/>
  <pageSetup orientation="landscape" paperSize="9" fitToHeight="0" fitToWidth="1"/>
  <headerFooter>
    <oddHeader>&amp;LNZ South Island 14-day budget</oddHeader>
    <oddFooter>&amp;RPage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1:L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16" customWidth="1" min="4" max="4"/>
    <col width="22" customWidth="1" min="5" max="5"/>
    <col width="16" customWidth="1" min="6" max="6"/>
    <col width="14" customWidth="1" min="7" max="7"/>
    <col width="14" customWidth="1" min="8" max="8"/>
    <col width="22" customWidth="1" min="9" max="9"/>
    <col width="36" customWidth="1" min="10" max="10"/>
    <col width="42" customWidth="1" min="11" max="11"/>
    <col width="42" customWidth="1" min="12" max="12"/>
  </cols>
  <sheetData>
    <row r="1">
      <c r="A1" s="74" t="inlineStr">
        <is>
          <t>7 項指定活動｜Klook vs 官網（4–5 月）｜2027 若無價則用 2026 曝光價／官網牌價</t>
        </is>
      </c>
    </row>
    <row r="2" ht="28" customHeight="1">
      <c r="A2" s="75" t="inlineStr">
        <is>
          <t>排程日</t>
        </is>
      </c>
      <c r="B2" s="75" t="inlineStr">
        <is>
          <t>活動</t>
        </is>
      </c>
      <c r="C2" s="75" t="inlineStr">
        <is>
          <t>建議方案</t>
        </is>
      </c>
      <c r="D2" s="75" t="inlineStr">
        <is>
          <t>官網一人 NZD</t>
        </is>
      </c>
      <c r="E2" s="75" t="inlineStr">
        <is>
          <t>Klook一人 NZD（2026參考）</t>
        </is>
      </c>
      <c r="F2" s="75" t="inlineStr">
        <is>
          <t>Klook一人 TWD</t>
        </is>
      </c>
      <c r="G2" s="75" t="inlineStr">
        <is>
          <t>兩人採用 NZD</t>
        </is>
      </c>
      <c r="H2" s="75" t="inlineStr">
        <is>
          <t>兩人採用 TWD</t>
        </is>
      </c>
      <c r="I2" s="75" t="inlineStr">
        <is>
          <t>Klook 有沒有</t>
        </is>
      </c>
      <c r="J2" s="75" t="inlineStr">
        <is>
          <t>建議在哪買</t>
        </is>
      </c>
      <c r="K2" s="75" t="inlineStr">
        <is>
          <t>Klook／資料連結</t>
        </is>
      </c>
      <c r="L2" s="75" t="inlineStr">
        <is>
          <t>4–5月注意</t>
        </is>
      </c>
    </row>
    <row r="3" ht="58" customHeight="1">
      <c r="A3" s="43" t="inlineStr">
        <is>
          <t>D1</t>
        </is>
      </c>
      <c r="B3" s="76" t="inlineStr">
        <is>
          <t>凱庫拉觀鯨</t>
        </is>
      </c>
      <c r="C3" s="43" t="inlineStr">
        <is>
          <t>Whale Watch 普通艙 Ocean Cabin</t>
        </is>
      </c>
      <c r="D3" s="45" t="n">
        <v>185</v>
      </c>
      <c r="E3" s="77" t="n">
        <v>185</v>
      </c>
      <c r="F3" s="78">
        <f>E3*'01_總覽'!$C$7</f>
        <v/>
      </c>
      <c r="G3" s="45" t="n">
        <v>370</v>
      </c>
      <c r="H3" s="46">
        <f>G3*'01_總覽'!$C$7</f>
        <v/>
      </c>
      <c r="I3" s="43" t="inlineStr">
        <is>
          <t>有（#7171）</t>
        </is>
      </c>
      <c r="J3" s="43" t="inlineStr">
        <is>
          <t>Klook 或官網都可以，價通常相同</t>
        </is>
      </c>
      <c r="K3" s="43" t="inlineStr">
        <is>
          <t>https://www.klook.com/zh-TW/activity/7171-whale-watch-kaikoura-auckland/</t>
        </is>
      </c>
      <c r="L3" s="43" t="inlineStr">
        <is>
          <t>官網價到 2027/9/30 仍是 NZ$185。看不到鯨退 80%。Klook 頁面要選日期才出 TWD。4–5 月班次穩，暈船藥自備。</t>
        </is>
      </c>
    </row>
    <row r="4" ht="58" customHeight="1">
      <c r="A4" s="38" t="inlineStr">
        <is>
          <t>D4</t>
        </is>
      </c>
      <c r="B4" s="79" t="inlineStr">
        <is>
          <t>弗蘭茲直升機冰川健行</t>
        </is>
      </c>
      <c r="C4" s="38" t="inlineStr">
        <is>
          <t>Franz Josef Glacier Guides Heli-hike（上冰 2–2.5h）</t>
        </is>
      </c>
      <c r="D4" s="40" t="n">
        <v>899</v>
      </c>
      <c r="E4" s="80" t="n">
        <v>870</v>
      </c>
      <c r="F4" s="81">
        <f>E4*'01_總覽'!$C$7</f>
        <v/>
      </c>
      <c r="G4" s="40" t="n">
        <v>1798</v>
      </c>
      <c r="H4" s="41">
        <f>G4*'01_總覽'!$C$7</f>
        <v/>
      </c>
      <c r="I4" s="38" t="inlineStr">
        <is>
          <t>有（#13811／#93307）</t>
        </is>
      </c>
      <c r="J4" s="38" t="inlineStr">
        <is>
          <t>先比 Klook 與官網；現在幾乎貼官網 NZ$899，不見得比較便宜</t>
        </is>
      </c>
      <c r="K4" s="38" t="inlineStr">
        <is>
          <t>https://www.klook.com/zh-TW/activity/13811-half-day-heli-hike-franz-fox-franz-josef-glacier/</t>
        </is>
      </c>
      <c r="L4" s="38" t="inlineStr">
        <is>
          <t>官網 2026/10 起至 2027/9/30 為 NZ$899。Klook 加拿大頁 2026 曝光約 US$505≈NT$16,150。舊文寫的 NZ$499–650 已過時。天氣取消可退。只住 1 晚風險高。</t>
        </is>
      </c>
    </row>
    <row r="5" ht="58" customHeight="1">
      <c r="A5" s="43" t="inlineStr">
        <is>
          <t>D8</t>
        </is>
      </c>
      <c r="B5" s="76" t="inlineStr">
        <is>
          <t>蒂阿瑙螢火蟲洞</t>
        </is>
      </c>
      <c r="C5" s="43" t="inlineStr">
        <is>
          <t>RealNZ Te Anau Glowworm Caves</t>
        </is>
      </c>
      <c r="D5" s="45" t="n">
        <v>145</v>
      </c>
      <c r="E5" s="77" t="n">
        <v>145</v>
      </c>
      <c r="F5" s="78">
        <f>E5*'01_總覽'!$C$7</f>
        <v/>
      </c>
      <c r="G5" s="45" t="n">
        <v>290</v>
      </c>
      <c r="H5" s="46">
        <f>G5*'01_總覽'!$C$7</f>
        <v/>
      </c>
      <c r="I5" s="43" t="inlineStr">
        <is>
          <t>有（#20221）</t>
        </is>
      </c>
      <c r="J5" s="43" t="inlineStr">
        <is>
          <t>Klook 方便；官網有時有 10% 折扣碼</t>
        </is>
      </c>
      <c r="K5" s="43" t="inlineStr">
        <is>
          <t>https://www.klook.com/zh-TW/activity/20221-glowworm-cave-tour-te-anau-queenstown/</t>
        </is>
      </c>
      <c r="L5" s="43" t="inlineStr">
        <is>
          <t>官網 From NZ$145。2026/10–2027/4 有資料寫成人 NZ$154，5 月後可能回 NZ$129。4 月用 145–154 估。洞內禁拍。</t>
        </is>
      </c>
    </row>
    <row r="6" ht="58" customHeight="1">
      <c r="A6" s="38" t="inlineStr">
        <is>
          <t>D9</t>
        </is>
      </c>
      <c r="B6" s="79" t="inlineStr">
        <is>
          <t>米佛峽灣遊船</t>
        </is>
      </c>
      <c r="C6" s="38" t="inlineStr">
        <is>
          <t>自駕到碼頭＋RealNZ Signature／Classic（不要買皇后鎮巴士一日遊）</t>
        </is>
      </c>
      <c r="D6" s="40" t="n">
        <v>175</v>
      </c>
      <c r="E6" s="80" t="n">
        <v>175</v>
      </c>
      <c r="F6" s="81">
        <f>E6*'01_總覽'!$C$7</f>
        <v/>
      </c>
      <c r="G6" s="40" t="n">
        <v>350</v>
      </c>
      <c r="H6" s="41">
        <f>G6*'01_總覽'!$C$7</f>
        <v/>
      </c>
      <c r="I6" s="38" t="inlineStr">
        <is>
          <t>有。注意方案：純船 vs 巴士＋船</t>
        </is>
      </c>
      <c r="J6" s="38" t="inlineStr">
        <is>
          <t>自駕選「僅遊船」。Klook #21592 是皇后鎮／蒂阿瑙巴士一日遊 NZ$249–339，會多重付車錢</t>
        </is>
      </c>
      <c r="K6" s="38" t="inlineStr">
        <is>
          <t>https://www.klook.com/zh-TW/activity/21592-nature-cruise-queenstown-te-anau-milford-sound/</t>
        </is>
      </c>
      <c r="L6" s="38" t="inlineStr">
        <is>
          <t>官網 Classic NZ$169、Signature NZ$175；10 月後有時 Signature NZ$199。4–5 月抓 175–199。自駕兩人比跟車省約 NT$8,000。</t>
        </is>
      </c>
    </row>
    <row r="7" ht="58" customHeight="1">
      <c r="A7" s="43" t="inlineStr">
        <is>
          <t>D10</t>
        </is>
      </c>
      <c r="B7" s="76" t="inlineStr">
        <is>
          <t>奧瑪魯看企鵝</t>
        </is>
      </c>
      <c r="C7" s="43" t="inlineStr">
        <is>
          <t>Ōamaru Penguins 晚間 Premium</t>
        </is>
      </c>
      <c r="D7" s="45" t="n">
        <v>70</v>
      </c>
      <c r="E7" s="43" t="inlineStr">
        <is>
          <t>平台常無純票</t>
        </is>
      </c>
      <c r="F7" s="43" t="inlineStr">
        <is>
          <t>—</t>
        </is>
      </c>
      <c r="G7" s="45" t="n">
        <v>140</v>
      </c>
      <c r="H7" s="46">
        <f>G7*'01_總覽'!$C$7</f>
        <v/>
      </c>
      <c r="I7" s="43" t="inlineStr">
        <is>
          <t>不穩／常沒有純門票</t>
        </is>
      </c>
      <c r="J7" s="43" t="inlineStr">
        <is>
          <t>官網或 KKDay 較準。Klook 較常見阿卡羅阿 Pohatu（#44547，NZ$125）那是另一個地方</t>
        </is>
      </c>
      <c r="K7" s="43" t="inlineStr">
        <is>
          <t>https://www.penguins.co.nz/visit/evening-viewing/</t>
        </is>
      </c>
      <c r="L7" s="43" t="inlineStr">
        <is>
          <t>官網 General NZ$50、Premium NZ$70。4–5 月傍晚約 5:00–6:30 開始，比夏天早。Klook 若沒有 Oamaru 純票，不要改訂阿卡羅阿——這條環島當晚人在奧瑪魯。</t>
        </is>
      </c>
    </row>
    <row r="8" ht="58" customHeight="1">
      <c r="A8" s="38" t="inlineStr">
        <is>
          <t>D11</t>
        </is>
      </c>
      <c r="B8" s="79" t="inlineStr">
        <is>
          <t>庫克山冰川探險</t>
        </is>
      </c>
      <c r="C8" s="38" t="inlineStr">
        <is>
          <t>Glacier Explorers 冰河湖遊船（不是再做一次 heli-hike）</t>
        </is>
      </c>
      <c r="D8" s="40" t="n">
        <v>219</v>
      </c>
      <c r="E8" s="80" t="n">
        <v>219</v>
      </c>
      <c r="F8" s="81">
        <f>E8*'01_總覽'!$C$7</f>
        <v/>
      </c>
      <c r="G8" s="40" t="n">
        <v>438</v>
      </c>
      <c r="H8" s="41">
        <f>G8*'01_總覽'!$C$7</f>
        <v/>
      </c>
      <c r="I8" s="38" t="inlineStr">
        <is>
          <t>有（#107359 Tasman Valley Walk and Glacier Lake Cruise）</t>
        </is>
      </c>
      <c r="J8" s="38" t="inlineStr">
        <is>
          <t>Klook 或隱士官網。價應接近 NZ$219</t>
        </is>
      </c>
      <c r="K8" s="38" t="inlineStr">
        <is>
          <t>https://www.klook.com/zh-TW/activity/107359-tasman-valley-walk-cruise-mount-cook/</t>
        </is>
      </c>
      <c r="L8" s="38" t="inlineStr">
        <is>
          <t>2026/10/1 起成人 NZ$219（此前 209）。要能走 1.5km／25 分。不要跟庫克山 Tasman heli-hike NZ$995 搞混——那跟弗蘭茲重複。</t>
        </is>
      </c>
    </row>
    <row r="9" ht="58" customHeight="1">
      <c r="A9" s="43" t="inlineStr">
        <is>
          <t>D12</t>
        </is>
      </c>
      <c r="B9" s="76" t="inlineStr">
        <is>
          <t>蒂卡波觀星</t>
        </is>
      </c>
      <c r="C9" s="43" t="inlineStr">
        <is>
          <t>Dark Sky Project 約翰山 Summit Experience</t>
        </is>
      </c>
      <c r="D9" s="45" t="n">
        <v>239</v>
      </c>
      <c r="E9" s="77" t="n">
        <v>219</v>
      </c>
      <c r="F9" s="78">
        <f>E9*'01_總覽'!$C$7</f>
        <v/>
      </c>
      <c r="G9" s="45" t="n">
        <v>478</v>
      </c>
      <c r="H9" s="46">
        <f>G9*'01_總覽'!$C$7</f>
        <v/>
      </c>
      <c r="I9" s="43" t="inlineStr">
        <is>
          <t>有（#2217 Summit；#24864 是較便宜的 Crater）</t>
        </is>
      </c>
      <c r="J9" s="43" t="inlineStr">
        <is>
          <t>Klook Summit 通常貼官網。想省改 Crater NZ$129</t>
        </is>
      </c>
      <c r="K9" s="43" t="inlineStr">
        <is>
          <t>https://www.klook.com/zh-TW/activity/2217-earth-sky-mt-john-observatory-tour-christchurch/</t>
        </is>
      </c>
      <c r="L9" s="43" t="inlineStr">
        <is>
          <t>Summit 官網曾列 NZ$219（至 2026/9/30），新頁寫 NZ$239（至 2027/9/30）。4–5 月請以訂位頁為準，本表用 239。Crater 較便宜但不上約翰山。</t>
        </is>
      </c>
    </row>
    <row r="10">
      <c r="A10" s="62" t="n"/>
      <c r="B10" s="62" t="inlineStr">
        <is>
          <t>7 項合計</t>
        </is>
      </c>
      <c r="C10" s="62" t="n"/>
      <c r="D10" s="62" t="n"/>
      <c r="E10" s="62" t="n"/>
      <c r="F10" s="62" t="n"/>
      <c r="G10" s="53">
        <f>SUM(G3:G9)</f>
        <v/>
      </c>
      <c r="H10" s="56">
        <f>G10*'01_總覽'!$C$7</f>
        <v/>
      </c>
      <c r="I10" s="62" t="n"/>
      <c r="J10" s="62" t="inlineStr">
        <is>
          <t>每人約 NT$3.5 萬。冰川一項就佔一半。</t>
        </is>
      </c>
      <c r="K10" s="62" t="n"/>
      <c r="L10" s="62" t="n"/>
    </row>
    <row r="12">
      <c r="A12" s="57" t="inlineStr">
        <is>
          <t>Klook 價格怎麼讀：
1) 本表「Klook一人 NZD」是 2026 年頁面／旅記曝光價，不是你選 2027/4 某日後的結帳價。Klook 會依日期、庫存、幣別（TWD/USD/HKD）浮動，價差常見 ±5–15%。
2) 2026 實測：觀鯨、螢火蟲、冰川探險遊船、觀星 Summit，Klook 多半貼官網，不一定比較便宜；優點是中文介面、信用卡、取消條款清楚。
3) 冰川健行：官網已是 NZ$899。Klook 若顯示約 US$505 或 NT$15,000–16,500，就是正常價；看到 NZ$499–650 多半是過期文章。
4) 企鵝：Klook 南島常出現的是阿卡羅阿 Pohatu（這條環島 D10 人在奧瑪魯，不要買錯）。奧瑪魯門票優先官網 https://www.penguins.co.nz 或 KKDay。
5) 米佛：自駕只買船。Klook 熱門套票常是皇后鎮出發 12 小時一日遊，貴且累。
6) 下單前用台灣帳號打開連結、選 2027/4 或 2027/5 實際日期，看 TWD 含稅價。官網價用 NZD 再乘 18 對一下。</t>
        </is>
      </c>
      <c r="B12" s="87" t="n"/>
      <c r="C12" s="87" t="n"/>
      <c r="D12" s="87" t="n"/>
      <c r="E12" s="87" t="n"/>
      <c r="F12" s="87" t="n"/>
      <c r="G12" s="87" t="n"/>
      <c r="H12" s="87" t="n"/>
      <c r="I12" s="87" t="n"/>
      <c r="J12" s="87" t="n"/>
      <c r="K12" s="87" t="n"/>
      <c r="L12" s="88" t="n"/>
    </row>
    <row r="13">
      <c r="A13" s="89" t="n"/>
      <c r="L13" s="90" t="n"/>
    </row>
    <row r="14">
      <c r="A14" s="89" t="n"/>
      <c r="L14" s="90" t="n"/>
    </row>
    <row r="15">
      <c r="A15" s="89" t="n"/>
      <c r="L15" s="90" t="n"/>
    </row>
    <row r="16">
      <c r="A16" s="91" t="n"/>
      <c r="B16" s="92" t="n"/>
      <c r="C16" s="92" t="n"/>
      <c r="D16" s="92" t="n"/>
      <c r="E16" s="92" t="n"/>
      <c r="F16" s="92" t="n"/>
      <c r="G16" s="92" t="n"/>
      <c r="H16" s="92" t="n"/>
      <c r="I16" s="92" t="n"/>
      <c r="J16" s="92" t="n"/>
      <c r="K16" s="92" t="n"/>
      <c r="L16" s="93" t="n"/>
    </row>
    <row r="18">
      <c r="A18" s="65" t="inlineStr">
        <is>
          <t>若要壓活動費</t>
        </is>
      </c>
    </row>
    <row r="19">
      <c r="A19" s="3" t="inlineStr">
        <is>
          <t>改法</t>
        </is>
      </c>
      <c r="B19" s="3" t="inlineStr">
        <is>
          <t>兩人少付 NZD</t>
        </is>
      </c>
      <c r="C19" s="3" t="inlineStr">
        <is>
          <t>兩人少付 TWD</t>
        </is>
      </c>
      <c r="D19" s="3" t="inlineStr">
        <is>
          <t>代價</t>
        </is>
      </c>
    </row>
    <row r="20">
      <c r="A20" s="68" t="inlineStr">
        <is>
          <t>觀星改 Crater NZ$129，不上約翰山</t>
        </is>
      </c>
      <c r="B20" s="40" t="n">
        <v>220</v>
      </c>
      <c r="C20" s="41">
        <f>B20*'01_總覽'!$C$7</f>
        <v/>
      </c>
      <c r="D20" s="68" t="inlineStr">
        <is>
          <t>星還看得到，少了山頂天文台</t>
        </is>
      </c>
    </row>
    <row r="21">
      <c r="A21" s="67" t="inlineStr">
        <is>
          <t>企鵝改 General NZ$50</t>
        </is>
      </c>
      <c r="B21" s="45" t="n">
        <v>40</v>
      </c>
      <c r="C21" s="46">
        <f>B21*'01_總覽'!$C$7</f>
        <v/>
      </c>
      <c r="D21" s="67" t="inlineStr">
        <is>
          <t>距離遠 10–15 公尺</t>
        </is>
      </c>
    </row>
    <row r="22">
      <c r="A22" s="68" t="inlineStr">
        <is>
          <t>米佛改 Classic NZ$169</t>
        </is>
      </c>
      <c r="B22" s="40" t="n">
        <v>12</v>
      </c>
      <c r="C22" s="41">
        <f>B22*'01_總覽'!$C$7</f>
        <v/>
      </c>
      <c r="D22" s="68" t="inlineStr">
        <is>
          <t>船大一點、解說用 App</t>
        </is>
      </c>
    </row>
    <row r="23">
      <c r="A23" s="67" t="inlineStr">
        <is>
          <t>不做觀鯨（省一天凱庫拉也可縮行程）</t>
        </is>
      </c>
      <c r="B23" s="45" t="n">
        <v>370</v>
      </c>
      <c r="C23" s="46">
        <f>B23*'01_總覽'!$C$7</f>
        <v/>
      </c>
      <c r="D23" s="67" t="inlineStr">
        <is>
          <t>少看抹香鯨；可少開北段</t>
        </is>
      </c>
    </row>
    <row r="24">
      <c r="A24" s="68" t="inlineStr">
        <is>
          <t>弗蘭茲只坐直升機不下冰 NZ$250–350</t>
        </is>
      </c>
      <c r="B24" s="40" t="n">
        <v>1100</v>
      </c>
      <c r="C24" s="41">
        <f>B24*'01_總覽'!$C$7</f>
        <v/>
      </c>
      <c r="D24" s="68" t="inlineStr">
        <is>
          <t>就不是冰川健行了</t>
        </is>
      </c>
    </row>
  </sheetData>
  <mergeCells count="3">
    <mergeCell ref="A12:L16"/>
    <mergeCell ref="A18:D18"/>
    <mergeCell ref="A1:L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</hyperlinks>
  <pageMargins left="0.75" right="0.75" top="1" bottom="1" header="0.5" footer="0.5"/>
  <pageSetup orientation="landscape" paperSize="9" fitToHeight="0" fitToWidth="1"/>
  <headerFooter>
    <oddHeader>&amp;LNZ South Island 14-day budget</oddHeader>
    <oddFooter>&amp;RPage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8" customWidth="1" min="4" max="4"/>
    <col width="10" customWidth="1" min="5" max="5"/>
    <col width="36" customWidth="1" min="6" max="6"/>
    <col width="2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36" customWidth="1" min="14" max="14"/>
  </cols>
  <sheetData>
    <row r="1">
      <c r="A1" s="65" t="inlineStr">
        <is>
          <t>以下三張表可直接全選複製到 Google 試算表（貼上＞僅值也行）</t>
        </is>
      </c>
    </row>
    <row r="3">
      <c r="A3" s="82" t="inlineStr">
        <is>
          <t>【表A】每日行程與花費（兩人 NZD）</t>
        </is>
      </c>
    </row>
    <row r="4">
      <c r="A4" s="83" t="inlineStr">
        <is>
          <t>日</t>
        </is>
      </c>
      <c r="B4" s="83" t="inlineStr">
        <is>
          <t>日期範例</t>
        </is>
      </c>
      <c r="C4" s="83" t="inlineStr">
        <is>
          <t>過夜</t>
        </is>
      </c>
      <c r="D4" s="83" t="inlineStr">
        <is>
          <t>車程</t>
        </is>
      </c>
      <c r="E4" s="83" t="inlineStr">
        <is>
          <t>公里</t>
        </is>
      </c>
      <c r="F4" s="83" t="inlineStr">
        <is>
          <t>行程摘要</t>
        </is>
      </c>
      <c r="G4" s="83" t="inlineStr">
        <is>
          <t>活動</t>
        </is>
      </c>
      <c r="H4" s="83" t="inlineStr">
        <is>
          <t>活動NZD</t>
        </is>
      </c>
      <c r="I4" s="83" t="inlineStr">
        <is>
          <t>住宿NZD</t>
        </is>
      </c>
      <c r="J4" s="83" t="inlineStr">
        <is>
          <t>餐食NZD</t>
        </is>
      </c>
      <c r="K4" s="83" t="inlineStr">
        <is>
          <t>油錢NZD</t>
        </is>
      </c>
      <c r="L4" s="83" t="inlineStr">
        <is>
          <t>租車NZD</t>
        </is>
      </c>
      <c r="M4" s="83" t="inlineStr">
        <is>
          <t>當天合計NZD</t>
        </is>
      </c>
      <c r="N4" s="83" t="inlineStr">
        <is>
          <t>備註</t>
        </is>
      </c>
    </row>
    <row r="5">
      <c r="A5" s="84" t="n">
        <v>1</v>
      </c>
      <c r="B5" s="84" t="inlineStr">
        <is>
          <t>4/8 四</t>
        </is>
      </c>
      <c r="C5" s="84" t="inlineStr">
        <is>
          <t>凱庫拉</t>
        </is>
      </c>
      <c r="D5" s="84" t="inlineStr">
        <is>
          <t>CHC→Kaikoura 2.5h</t>
        </is>
      </c>
      <c r="E5" s="84" t="n">
        <v>180</v>
      </c>
      <c r="F5" s="84" t="inlineStr">
        <is>
          <t>上午抵基督城、取車、超市補貨。下午沿海北上凱庫拉。若班機早到，可趕下午賞鯨；晚到則隔天早上。新鮮龍蝦當晚餐。</t>
        </is>
      </c>
      <c r="G5" s="84" t="inlineStr">
        <is>
          <t>凱庫拉觀鯨 Whale Watch</t>
        </is>
      </c>
      <c r="H5" s="84" t="n">
        <v>370</v>
      </c>
      <c r="I5" s="84" t="n">
        <v>150</v>
      </c>
      <c r="J5" s="84" t="n">
        <v>120</v>
      </c>
      <c r="K5" s="84" t="n">
        <v>40</v>
      </c>
      <c r="L5" s="84" t="n">
        <v>120</v>
      </c>
      <c r="M5" s="84" t="n">
        <v>800</v>
      </c>
      <c r="N5" s="84" t="inlineStr">
        <is>
          <t>班機下午到就不要排當日賞鯨。第一天右駕，開慢。</t>
        </is>
      </c>
    </row>
    <row r="6">
      <c r="A6" s="84" t="n">
        <v>2</v>
      </c>
      <c r="B6" s="84" t="inlineStr">
        <is>
          <t>4/9 五</t>
        </is>
      </c>
      <c r="C6" s="84" t="inlineStr">
        <is>
          <t>皮克頓／布倫亨</t>
        </is>
      </c>
      <c r="D6" s="84" t="inlineStr">
        <is>
          <t>Kaikoura→Picton 2.5h</t>
        </is>
      </c>
      <c r="E6" s="84" t="n">
        <v>155</v>
      </c>
      <c r="F6" s="84" t="inlineStr">
        <is>
          <t>早上補做賞鯨（若 D1 沒做）。沿 SH1 北上，午後馬爾堡酒莊（Cloudy Bay 可只拍照不品酒）。不住北島、不過海。</t>
        </is>
      </c>
      <c r="G6" s="84" t="inlineStr">
        <is>
          <t>（賞鯨備援日）</t>
        </is>
      </c>
      <c r="H6" s="84" t="n">
        <v>0</v>
      </c>
      <c r="I6" s="84" t="n">
        <v>140</v>
      </c>
      <c r="J6" s="84" t="n">
        <v>120</v>
      </c>
      <c r="K6" s="84" t="n">
        <v>35</v>
      </c>
      <c r="L6" s="84" t="n">
        <v>120</v>
      </c>
      <c r="M6" s="84" t="n">
        <v>415</v>
      </c>
      <c r="N6" s="84" t="inlineStr">
        <is>
          <t>D1 已賞鯨則這天輕鬆。酒莊品酒後不要再開長途。</t>
        </is>
      </c>
    </row>
    <row r="7">
      <c r="A7" s="84" t="n">
        <v>3</v>
      </c>
      <c r="B7" s="84" t="inlineStr">
        <is>
          <t>4/10 六</t>
        </is>
      </c>
      <c r="C7" s="84" t="inlineStr">
        <is>
          <t>霍基蒂卡</t>
        </is>
      </c>
      <c r="D7" s="84" t="inlineStr">
        <is>
          <t>Picton→Hokitika 6–7h</t>
        </is>
      </c>
      <c r="E7" s="84" t="n">
        <v>430</v>
      </c>
      <c r="F7" s="84" t="inlineStr">
        <is>
          <t>全行程最長車日。經 SH6 西海岸：Pancake Rocks 薄餅岩（免費）、Hokitika Gorge 若時間夠。沿路加油。</t>
        </is>
      </c>
      <c r="G7" s="84" t="inlineStr">
        <is>
          <t>—</t>
        </is>
      </c>
      <c r="H7" s="84" t="n">
        <v>0</v>
      </c>
      <c r="I7" s="84" t="n">
        <v>140</v>
      </c>
      <c r="J7" s="84" t="n">
        <v>130</v>
      </c>
      <c r="K7" s="84" t="n">
        <v>90</v>
      </c>
      <c r="L7" s="84" t="n">
        <v>120</v>
      </c>
      <c r="M7" s="84" t="n">
        <v>480</v>
      </c>
      <c r="N7" s="84" t="inlineStr">
        <is>
          <t>車程超過阿新建議的 3.5h。可考慮砍皮克頓、D2 直接往西岸。</t>
        </is>
      </c>
    </row>
    <row r="8">
      <c r="A8" s="84" t="n">
        <v>4</v>
      </c>
      <c r="B8" s="84" t="inlineStr">
        <is>
          <t>4/11 日</t>
        </is>
      </c>
      <c r="C8" s="84" t="inlineStr">
        <is>
          <t>弗蘭茲約瑟夫</t>
        </is>
      </c>
      <c r="D8" s="84" t="inlineStr">
        <is>
          <t>Hokitika→Franz 2h</t>
        </is>
      </c>
      <c r="E8" s="84" t="n">
        <v>140</v>
      </c>
      <c r="F8" s="84" t="inlineStr">
        <is>
          <t>上午開到冰川村報到。Heli-hike 約半天（裝備全含）。下午若取消，改走免費谷底步道遠觀。</t>
        </is>
      </c>
      <c r="G8" s="84" t="inlineStr">
        <is>
          <t>弗蘭茲直升機冰川健行</t>
        </is>
      </c>
      <c r="H8" s="84" t="n">
        <v>1798</v>
      </c>
      <c r="I8" s="84" t="n">
        <v>180</v>
      </c>
      <c r="J8" s="84" t="n">
        <v>130</v>
      </c>
      <c r="K8" s="84" t="n">
        <v>30</v>
      </c>
      <c r="L8" s="84" t="n">
        <v>120</v>
      </c>
      <c r="M8" s="84" t="n">
        <v>2258</v>
      </c>
      <c r="N8" s="84" t="inlineStr">
        <is>
          <t>【高風險】只住 1 晚，西岸取消率高。強烈建議改住 2 晚。</t>
        </is>
      </c>
    </row>
    <row r="9">
      <c r="A9" s="84" t="n">
        <v>5</v>
      </c>
      <c r="B9" s="84" t="inlineStr">
        <is>
          <t>4/12 一</t>
        </is>
      </c>
      <c r="C9" s="84" t="inlineStr">
        <is>
          <t>皇后鎮</t>
        </is>
      </c>
      <c r="D9" s="84" t="inlineStr">
        <is>
          <t>Franz→QT via Haast 4.5h</t>
        </is>
      </c>
      <c r="E9" s="84" t="n">
        <v>350</v>
      </c>
      <c r="F9" s="84" t="inlineStr">
        <is>
          <t>經 Haast Pass，本身是景點。下午抵皇后鎮湖邊散步、Fergburger。不排極限運動。</t>
        </is>
      </c>
      <c r="G9" s="84" t="inlineStr">
        <is>
          <t>—</t>
        </is>
      </c>
      <c r="H9" s="84" t="n">
        <v>0</v>
      </c>
      <c r="I9" s="84" t="n">
        <v>220</v>
      </c>
      <c r="J9" s="84" t="n">
        <v>140</v>
      </c>
      <c r="K9" s="84" t="n">
        <v>75</v>
      </c>
      <c r="L9" s="84" t="n">
        <v>120</v>
      </c>
      <c r="M9" s="84" t="n">
        <v>555</v>
      </c>
      <c r="N9" s="84" t="inlineStr">
        <is>
          <t>Haast 前先加油。這天不要排活動。</t>
        </is>
      </c>
    </row>
    <row r="10">
      <c r="A10" s="84" t="n">
        <v>6</v>
      </c>
      <c r="B10" s="84" t="inlineStr">
        <is>
          <t>4/13 二</t>
        </is>
      </c>
      <c r="C10" s="84" t="inlineStr">
        <is>
          <t>皇后鎮</t>
        </is>
      </c>
      <c r="D10" s="84" t="inlineStr">
        <is>
          <t>市區／箭鎮 0.5h</t>
        </is>
      </c>
      <c r="E10" s="84" t="n">
        <v>50</v>
      </c>
      <c r="F10" s="84" t="inlineStr">
        <is>
          <t>箭鎮楓紅（4 月正美）或 Skyline 纜車。不跳傘、不彈跳。晚上湖邊。</t>
        </is>
      </c>
      <c r="G10" s="84" t="inlineStr">
        <is>
          <t>纜車可選 NZ$40起（未列入指定活動）</t>
        </is>
      </c>
      <c r="H10" s="84" t="n">
        <v>0</v>
      </c>
      <c r="I10" s="84" t="n">
        <v>220</v>
      </c>
      <c r="J10" s="84" t="n">
        <v>140</v>
      </c>
      <c r="K10" s="84" t="n">
        <v>12</v>
      </c>
      <c r="L10" s="84" t="n">
        <v>120</v>
      </c>
      <c r="M10" s="84" t="n">
        <v>492</v>
      </c>
      <c r="N10" s="84" t="inlineStr">
        <is>
          <t>4 月箭鎮很適合 chill。</t>
        </is>
      </c>
    </row>
    <row r="11">
      <c r="A11" s="84" t="n">
        <v>7</v>
      </c>
      <c r="B11" s="84" t="inlineStr">
        <is>
          <t>4/14 三</t>
        </is>
      </c>
      <c r="C11" s="84" t="inlineStr">
        <is>
          <t>皇后鎮</t>
        </is>
      </c>
      <c r="D11" s="84" t="inlineStr">
        <is>
          <t>QT↔Wanaka 往返 2h</t>
        </is>
      </c>
      <c r="E11" s="84" t="n">
        <v>140</v>
      </c>
      <c r="F11" s="84" t="inlineStr">
        <is>
          <t>瓦納卡當日來回：That Wanaka Tree、湖邊咖啡。不攻 Roy's Peak（5–6h）。傍晚回皇后鎮。</t>
        </is>
      </c>
      <c r="G11" s="84" t="inlineStr">
        <is>
          <t>—</t>
        </is>
      </c>
      <c r="H11" s="84" t="n">
        <v>0</v>
      </c>
      <c r="I11" s="84" t="n">
        <v>220</v>
      </c>
      <c r="J11" s="84" t="n">
        <v>130</v>
      </c>
      <c r="K11" s="84" t="n">
        <v>30</v>
      </c>
      <c r="L11" s="84" t="n">
        <v>120</v>
      </c>
      <c r="M11" s="84" t="n">
        <v>500</v>
      </c>
      <c r="N11" s="84" t="inlineStr">
        <is>
          <t>Crown Range 冬天要雪鏈；4–5 月通常可過，雨天改走 Cromwell。</t>
        </is>
      </c>
    </row>
    <row r="12">
      <c r="A12" s="84" t="n">
        <v>8</v>
      </c>
      <c r="B12" s="84" t="inlineStr">
        <is>
          <t>4/15 四</t>
        </is>
      </c>
      <c r="C12" s="84" t="inlineStr">
        <is>
          <t>蒂阿瑙</t>
        </is>
      </c>
      <c r="D12" s="84" t="inlineStr">
        <is>
          <t>QT→Te Anau 2h</t>
        </is>
      </c>
      <c r="E12" s="84" t="n">
        <v>170</v>
      </c>
      <c r="F12" s="84" t="inlineStr">
        <is>
          <t>中午前抵達峽灣門戶。超市補米佛隔日食物（沿路沒店）。傍晚螢火蟲洞。</t>
        </is>
      </c>
      <c r="G12" s="84" t="inlineStr">
        <is>
          <t>蒂阿瑙螢火蟲洞</t>
        </is>
      </c>
      <c r="H12" s="84" t="n">
        <v>290</v>
      </c>
      <c r="I12" s="84" t="n">
        <v>180</v>
      </c>
      <c r="J12" s="84" t="n">
        <v>120</v>
      </c>
      <c r="K12" s="84" t="n">
        <v>38</v>
      </c>
      <c r="L12" s="84" t="n">
        <v>120</v>
      </c>
      <c r="M12" s="84" t="n">
        <v>748</v>
      </c>
      <c r="N12" s="84" t="inlineStr">
        <is>
          <t>螢火蟲洞洞內禁拍。與米佛同一基地，不用多跑。</t>
        </is>
      </c>
    </row>
    <row r="13">
      <c r="A13" s="84" t="n">
        <v>9</v>
      </c>
      <c r="B13" s="84" t="inlineStr">
        <is>
          <t>4/16 五</t>
        </is>
      </c>
      <c r="C13" s="84" t="inlineStr">
        <is>
          <t>蒂阿瑙</t>
        </is>
      </c>
      <c r="D13" s="84" t="inlineStr">
        <is>
          <t>Te Anau↔Milford 往返 5h</t>
        </is>
      </c>
      <c r="E13" s="84" t="n">
        <v>240</v>
      </c>
      <c r="F13" s="84" t="inlineStr">
        <is>
          <t>07:00 出發自駕 SH94：Mirror Lakes、Homer Tunnel。碼頭搭 1.5–2h 遊船。傍晚回蒂阿瑙。</t>
        </is>
      </c>
      <c r="G13" s="84" t="inlineStr">
        <is>
          <t>米佛峽灣遊船（自駕＋船，不跟皇后鎮巴士）</t>
        </is>
      </c>
      <c r="H13" s="84" t="n">
        <v>350</v>
      </c>
      <c r="I13" s="84" t="n">
        <v>180</v>
      </c>
      <c r="J13" s="84" t="n">
        <v>130</v>
      </c>
      <c r="K13" s="84" t="n">
        <v>52</v>
      </c>
      <c r="L13" s="84" t="n">
        <v>120</v>
      </c>
      <c r="M13" s="84" t="n">
        <v>832</v>
      </c>
      <c r="N13" s="84" t="inlineStr">
        <is>
          <t>自駕比皇后鎮一日遊少花約 NZ$230／人，也比較不累。</t>
        </is>
      </c>
    </row>
    <row r="14">
      <c r="A14" s="84" t="n">
        <v>10</v>
      </c>
      <c r="B14" s="84" t="inlineStr">
        <is>
          <t>4/17 六</t>
        </is>
      </c>
      <c r="C14" s="84" t="inlineStr">
        <is>
          <t>奧瑪魯</t>
        </is>
      </c>
      <c r="D14" s="84" t="inlineStr">
        <is>
          <t>Te Anau→Dunedin→Oamaru 5h</t>
        </is>
      </c>
      <c r="E14" s="84" t="n">
        <v>380</v>
      </c>
      <c r="F14" s="84" t="inlineStr">
        <is>
          <t>中午但尼丁火車站／Baldwin Street 停留 1–2h。傍晚到奧瑪魯看小藍企鵝歸巢。</t>
        </is>
      </c>
      <c r="G14" s="84" t="inlineStr">
        <is>
          <t>奧瑪魯小藍企鵝 Premium</t>
        </is>
      </c>
      <c r="H14" s="84" t="n">
        <v>140</v>
      </c>
      <c r="I14" s="84" t="n">
        <v>160</v>
      </c>
      <c r="J14" s="84" t="n">
        <v>120</v>
      </c>
      <c r="K14" s="84" t="n">
        <v>82</v>
      </c>
      <c r="L14" s="84" t="n">
        <v>120</v>
      </c>
      <c r="M14" s="84" t="n">
        <v>622</v>
      </c>
      <c r="N14" s="84" t="inlineStr">
        <is>
          <t>阿新原文但尼丁＋奧瑪魯只 1 晚，企鵝要住奧瑪魯才趕得上。</t>
        </is>
      </c>
    </row>
    <row r="15">
      <c r="A15" s="84" t="n">
        <v>11</v>
      </c>
      <c r="B15" s="84" t="inlineStr">
        <is>
          <t>4/18 日</t>
        </is>
      </c>
      <c r="C15" s="84" t="inlineStr">
        <is>
          <t>庫克山</t>
        </is>
      </c>
      <c r="D15" s="84" t="inlineStr">
        <is>
          <t>Oamaru→Mt Cook 4h</t>
        </is>
      </c>
      <c r="E15" s="84" t="n">
        <v>250</v>
      </c>
      <c r="F15" s="84" t="inlineStr">
        <is>
          <t>經 Omarama 進山。下午 Glacier Explorers（隱士一樓報到）。或改早上走 Hooker Valley、下午船。</t>
        </is>
      </c>
      <c r="G15" s="84" t="inlineStr">
        <is>
          <t>庫克山冰川探險 Glacier Explorers</t>
        </is>
      </c>
      <c r="H15" s="84" t="n">
        <v>438</v>
      </c>
      <c r="I15" s="84" t="n">
        <v>340</v>
      </c>
      <c r="J15" s="84" t="n">
        <v>150</v>
      </c>
      <c r="K15" s="84" t="n">
        <v>55</v>
      </c>
      <c r="L15" s="84" t="n">
        <v>120</v>
      </c>
      <c r="M15" s="84" t="n">
        <v>1103</v>
      </c>
      <c r="N15" s="84" t="inlineStr">
        <is>
          <t>只住 1 晚很趕。隱士無景房不值得。晚餐貴，可接受。</t>
        </is>
      </c>
    </row>
    <row r="16">
      <c r="A16" s="84" t="n">
        <v>12</v>
      </c>
      <c r="B16" s="84" t="inlineStr">
        <is>
          <t>4/19 一</t>
        </is>
      </c>
      <c r="C16" s="84" t="inlineStr">
        <is>
          <t>蒂卡波</t>
        </is>
      </c>
      <c r="D16" s="84" t="inlineStr">
        <is>
          <t>Mt Cook→Tekapo 1.5h</t>
        </is>
      </c>
      <c r="E16" s="84" t="n">
        <v>105</v>
      </c>
      <c r="F16" s="84" t="inlineStr">
        <is>
          <t>早上 Hooker Valley（免費、必走）。經普卡基湖牛奶藍必停。傍晚牧羊人教堂，晚上約翰山觀星。</t>
        </is>
      </c>
      <c r="G16" s="84" t="inlineStr">
        <is>
          <t>Dark Sky Project 約翰山 Summit</t>
        </is>
      </c>
      <c r="H16" s="84" t="n">
        <v>478</v>
      </c>
      <c r="I16" s="84" t="n">
        <v>250</v>
      </c>
      <c r="J16" s="84" t="n">
        <v>120</v>
      </c>
      <c r="K16" s="84" t="n">
        <v>24</v>
      </c>
      <c r="L16" s="84" t="n">
        <v>120</v>
      </c>
      <c r="M16" s="84" t="n">
        <v>992</v>
      </c>
      <c r="N16" s="84" t="inlineStr">
        <is>
          <t>觀星看雲。天氣不好有室內備援或部分退費。</t>
        </is>
      </c>
    </row>
    <row r="17">
      <c r="A17" s="84" t="n">
        <v>13</v>
      </c>
      <c r="B17" s="84" t="inlineStr">
        <is>
          <t>4/20 二</t>
        </is>
      </c>
      <c r="C17" s="84" t="inlineStr">
        <is>
          <t>基督城</t>
        </is>
      </c>
      <c r="D17" s="84" t="inlineStr">
        <is>
          <t>Tekapo→CHC 3.5h</t>
        </is>
      </c>
      <c r="E17" s="84" t="n">
        <v>227</v>
      </c>
      <c r="F17" s="84" t="inlineStr">
        <is>
          <t>蒂卡波上午逛完再開回基督城。還車前先加油（租車公司油箱規定）。住機場附近。</t>
        </is>
      </c>
      <c r="G17" s="84" t="inlineStr">
        <is>
          <t>—</t>
        </is>
      </c>
      <c r="H17" s="84" t="n">
        <v>0</v>
      </c>
      <c r="I17" s="84" t="n">
        <v>160</v>
      </c>
      <c r="J17" s="84" t="n">
        <v>120</v>
      </c>
      <c r="K17" s="84" t="n">
        <v>50</v>
      </c>
      <c r="L17" s="84" t="n">
        <v>120</v>
      </c>
      <c r="M17" s="84" t="n">
        <v>450</v>
      </c>
      <c r="N17" s="84" t="inlineStr">
        <is>
          <t>隔天早班建議住機場 10 分鐘內。</t>
        </is>
      </c>
    </row>
    <row r="18">
      <c r="A18" s="84" t="n">
        <v>14</v>
      </c>
      <c r="B18" s="84" t="inlineStr">
        <is>
          <t>4/21 三</t>
        </is>
      </c>
      <c r="C18" s="84" t="inlineStr">
        <is>
          <t>回台</t>
        </is>
      </c>
      <c r="D18" s="84" t="inlineStr">
        <is>
          <t>當地 20km</t>
        </is>
      </c>
      <c r="E18" s="84" t="n">
        <v>20</v>
      </c>
      <c r="F18" s="84" t="inlineStr">
        <is>
          <t>還車、基督城機場出境。預留 2 小時以上。</t>
        </is>
      </c>
      <c r="G18" s="84" t="inlineStr">
        <is>
          <t>—</t>
        </is>
      </c>
      <c r="H18" s="84" t="n">
        <v>0</v>
      </c>
      <c r="I18" s="84" t="n">
        <v>0</v>
      </c>
      <c r="J18" s="84" t="n">
        <v>80</v>
      </c>
      <c r="K18" s="84" t="n">
        <v>6</v>
      </c>
      <c r="L18" s="84" t="n">
        <v>120</v>
      </c>
      <c r="M18" s="84" t="n">
        <v>206</v>
      </c>
      <c r="N18" s="84" t="inlineStr">
        <is>
          <t>還車前加滿油。</t>
        </is>
      </c>
    </row>
    <row r="21">
      <c r="A21" s="82" t="inlineStr">
        <is>
          <t>【表B】總花費（兩人）</t>
        </is>
      </c>
    </row>
    <row r="22">
      <c r="A22" s="83" t="inlineStr">
        <is>
          <t>項目</t>
        </is>
      </c>
      <c r="B22" s="83" t="inlineStr">
        <is>
          <t>兩人NZD</t>
        </is>
      </c>
      <c r="C22" s="83" t="inlineStr">
        <is>
          <t>兩人TWD</t>
        </is>
      </c>
      <c r="D22" s="83" t="inlineStr">
        <is>
          <t>每人TWD</t>
        </is>
      </c>
    </row>
    <row r="23">
      <c r="A23" s="85" t="inlineStr">
        <is>
          <t>機票</t>
        </is>
      </c>
      <c r="B23" s="85" t="n">
        <v>4667</v>
      </c>
      <c r="C23" s="85" t="n">
        <v>84000</v>
      </c>
      <c r="D23" s="85" t="n">
        <v>42000</v>
      </c>
    </row>
    <row r="24">
      <c r="A24" s="85" t="inlineStr">
        <is>
          <t>NZeTA+IVL</t>
        </is>
      </c>
      <c r="B24" s="85" t="n">
        <v>234</v>
      </c>
      <c r="C24" s="85" t="n">
        <v>4212</v>
      </c>
      <c r="D24" s="85" t="n">
        <v>2106</v>
      </c>
    </row>
    <row r="25">
      <c r="A25" s="85" t="inlineStr">
        <is>
          <t>旅遊保險</t>
        </is>
      </c>
      <c r="B25" s="85" t="n">
        <v>360</v>
      </c>
      <c r="C25" s="85" t="n">
        <v>6480</v>
      </c>
      <c r="D25" s="85" t="n">
        <v>3240</v>
      </c>
    </row>
    <row r="26">
      <c r="A26" s="85" t="inlineStr">
        <is>
          <t>住宿13晚</t>
        </is>
      </c>
      <c r="B26" s="85" t="n">
        <v>2540</v>
      </c>
      <c r="C26" s="85" t="n">
        <v>45720</v>
      </c>
      <c r="D26" s="85" t="n">
        <v>22860</v>
      </c>
    </row>
    <row r="27">
      <c r="A27" s="85" t="inlineStr">
        <is>
          <t>租車+全險</t>
        </is>
      </c>
      <c r="B27" s="85" t="n">
        <v>1680</v>
      </c>
      <c r="C27" s="85" t="n">
        <v>30240</v>
      </c>
      <c r="D27" s="85" t="n">
        <v>15120</v>
      </c>
    </row>
    <row r="28">
      <c r="A28" s="85" t="inlineStr">
        <is>
          <t>油錢</t>
        </is>
      </c>
      <c r="B28" s="85" t="n">
        <v>619</v>
      </c>
      <c r="C28" s="85" t="n">
        <v>11142</v>
      </c>
      <c r="D28" s="85" t="n">
        <v>5571</v>
      </c>
    </row>
    <row r="29">
      <c r="A29" s="85" t="inlineStr">
        <is>
          <t>餐食</t>
        </is>
      </c>
      <c r="B29" s="85" t="n">
        <v>1750</v>
      </c>
      <c r="C29" s="85" t="n">
        <v>31500</v>
      </c>
      <c r="D29" s="85" t="n">
        <v>15750</v>
      </c>
    </row>
    <row r="30">
      <c r="A30" s="85" t="inlineStr">
        <is>
          <t>7項活動</t>
        </is>
      </c>
      <c r="B30" s="85" t="n">
        <v>3864</v>
      </c>
      <c r="C30" s="85" t="n">
        <v>69552</v>
      </c>
      <c r="D30" s="85" t="n">
        <v>34776</v>
      </c>
    </row>
    <row r="31">
      <c r="A31" s="85" t="inlineStr">
        <is>
          <t>雜支</t>
        </is>
      </c>
      <c r="B31" s="85" t="n">
        <v>200</v>
      </c>
      <c r="C31" s="85" t="n">
        <v>3600</v>
      </c>
      <c r="D31" s="85" t="n">
        <v>1800</v>
      </c>
    </row>
    <row r="32">
      <c r="A32" s="86" t="inlineStr">
        <is>
          <t>合計</t>
        </is>
      </c>
      <c r="B32" s="86" t="n">
        <v>15914</v>
      </c>
      <c r="C32" s="86" t="n">
        <v>286446</v>
      </c>
      <c r="D32" s="86" t="n">
        <v>143223</v>
      </c>
    </row>
    <row r="33">
      <c r="A33" s="86" t="inlineStr">
        <is>
          <t>含10%緩衝</t>
        </is>
      </c>
      <c r="B33" s="86" t="n">
        <v>17505</v>
      </c>
      <c r="C33" s="86" t="n">
        <v>315091</v>
      </c>
      <c r="D33" s="86" t="n">
        <v>157545</v>
      </c>
    </row>
    <row r="34"/>
    <row r="35">
      <c r="A35" s="82" t="inlineStr">
        <is>
          <t>【表C】Klook vs 官網（一人）</t>
        </is>
      </c>
    </row>
    <row r="36">
      <c r="A36" s="83" t="inlineStr">
        <is>
          <t>活動</t>
        </is>
      </c>
      <c r="B36" s="83" t="inlineStr">
        <is>
          <t>官網NZD</t>
        </is>
      </c>
      <c r="C36" s="83" t="inlineStr">
        <is>
          <t>Klook參考NZD</t>
        </is>
      </c>
      <c r="D36" s="83" t="inlineStr">
        <is>
          <t>Klook參考TWD</t>
        </is>
      </c>
      <c r="E36" s="83" t="inlineStr">
        <is>
          <t>兩人採用TWD</t>
        </is>
      </c>
      <c r="F36" s="83" t="inlineStr">
        <is>
          <t>建議</t>
        </is>
      </c>
    </row>
    <row r="37">
      <c r="A37" s="85" t="inlineStr">
        <is>
          <t>觀鯨</t>
        </is>
      </c>
      <c r="B37" s="85" t="n">
        <v>185</v>
      </c>
      <c r="C37" s="85" t="n">
        <v>185</v>
      </c>
      <c r="D37" s="85" t="n">
        <v>3330</v>
      </c>
      <c r="E37" s="85" t="n">
        <v>6660</v>
      </c>
      <c r="F37" s="85" t="inlineStr">
        <is>
          <t>Klook #7171 或官網</t>
        </is>
      </c>
    </row>
    <row r="38">
      <c r="A38" s="85" t="inlineStr">
        <is>
          <t>冰川健行</t>
        </is>
      </c>
      <c r="B38" s="85" t="n">
        <v>899</v>
      </c>
      <c r="C38" s="85" t="n">
        <v>870</v>
      </c>
      <c r="D38" s="85" t="n">
        <v>15660</v>
      </c>
      <c r="E38" s="85" t="n">
        <v>32364</v>
      </c>
      <c r="F38" s="85" t="inlineStr">
        <is>
          <t>先比價，常貼官網899</t>
        </is>
      </c>
    </row>
    <row r="39">
      <c r="A39" s="85" t="inlineStr">
        <is>
          <t>螢火蟲</t>
        </is>
      </c>
      <c r="B39" s="85" t="n">
        <v>145</v>
      </c>
      <c r="C39" s="85" t="n">
        <v>145</v>
      </c>
      <c r="D39" s="85" t="n">
        <v>2610</v>
      </c>
      <c r="E39" s="85" t="n">
        <v>5220</v>
      </c>
      <c r="F39" s="85" t="inlineStr">
        <is>
          <t>Klook #20221</t>
        </is>
      </c>
    </row>
    <row r="40">
      <c r="A40" s="85" t="inlineStr">
        <is>
          <t>米佛遊船</t>
        </is>
      </c>
      <c r="B40" s="85" t="n">
        <v>175</v>
      </c>
      <c r="C40" s="85" t="n">
        <v>175</v>
      </c>
      <c r="D40" s="85" t="n">
        <v>3150</v>
      </c>
      <c r="E40" s="85" t="n">
        <v>6300</v>
      </c>
      <c r="F40" s="85" t="inlineStr">
        <is>
          <t>只買船，別買巴士套票</t>
        </is>
      </c>
    </row>
    <row r="41">
      <c r="A41" s="85" t="inlineStr">
        <is>
          <t>企鵝Premium</t>
        </is>
      </c>
      <c r="B41" s="85" t="n">
        <v>70</v>
      </c>
      <c r="C41" s="85" t="inlineStr">
        <is>
          <t>常無純票</t>
        </is>
      </c>
      <c r="D41" s="85" t="inlineStr">
        <is>
          <t>—</t>
        </is>
      </c>
      <c r="E41" s="85" t="n">
        <v>2520</v>
      </c>
      <c r="F41" s="85" t="inlineStr">
        <is>
          <t>官網／KKDay</t>
        </is>
      </c>
    </row>
    <row r="42">
      <c r="A42" s="85" t="inlineStr">
        <is>
          <t>庫克山冰川探險</t>
        </is>
      </c>
      <c r="B42" s="85" t="n">
        <v>219</v>
      </c>
      <c r="C42" s="85" t="n">
        <v>219</v>
      </c>
      <c r="D42" s="85" t="n">
        <v>3942</v>
      </c>
      <c r="E42" s="85" t="n">
        <v>7884</v>
      </c>
      <c r="F42" s="85" t="inlineStr">
        <is>
          <t>Klook #107359</t>
        </is>
      </c>
    </row>
    <row r="43">
      <c r="A43" s="85" t="inlineStr">
        <is>
          <t>蒂卡波Summit觀星</t>
        </is>
      </c>
      <c r="B43" s="85" t="n">
        <v>239</v>
      </c>
      <c r="C43" s="85" t="n">
        <v>219</v>
      </c>
      <c r="D43" s="85" t="n">
        <v>3942</v>
      </c>
      <c r="E43" s="85" t="n">
        <v>8604</v>
      </c>
      <c r="F43" s="85" t="inlineStr">
        <is>
          <t>Klook #2217；4–5月可能239</t>
        </is>
      </c>
    </row>
    <row r="44">
      <c r="A44" s="86" t="inlineStr">
        <is>
          <t>合計</t>
        </is>
      </c>
      <c r="B44" s="86" t="n">
        <v>1932</v>
      </c>
      <c r="C44" s="86" t="inlineStr"/>
      <c r="D44" s="86" t="inlineStr"/>
      <c r="E44" s="86" t="n">
        <v>69552</v>
      </c>
      <c r="F44" s="86" t="inlineStr">
        <is>
          <t>每人約3.5萬</t>
        </is>
      </c>
    </row>
  </sheetData>
  <mergeCells count="2">
    <mergeCell ref="A3:N3"/>
    <mergeCell ref="A1:N1"/>
  </mergeCells>
  <pageMargins left="0.75" right="0.75" top="1" bottom="1" header="0.5" footer="0.5"/>
  <pageSetup orientation="landscape" paperSize="9" fitToHeight="0" fitToWidth="1"/>
  <headerFooter>
    <oddHeader>&amp;LNZ South Island 14-day budget</oddHeader>
    <oddFooter>&amp;RPage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2026-10-03T15:12:33Z</dcterms:created>
  <dcterms:modified xsi:type="dcterms:W3CDTF">2026-10-03T15:13:04Z</dcterms:modified>
</cp:coreProperties>
</file>