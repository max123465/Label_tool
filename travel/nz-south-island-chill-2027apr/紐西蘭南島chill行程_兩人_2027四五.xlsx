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說明" sheetId="1" state="visible" r:id="rId1"/>
    <sheet name="01_總覽" sheetId="2" state="visible" r:id="rId2"/>
    <sheet name="02_每日行程" sheetId="3" state="visible" r:id="rId3"/>
    <sheet name="03_住宿" sheetId="4" state="visible" r:id="rId4"/>
    <sheet name="04_租車與全險" sheetId="5" state="visible" r:id="rId5"/>
    <sheet name="05_活動" sheetId="6" state="visible" r:id="rId6"/>
    <sheet name="06_可複製" sheetId="7" state="visible" r:id="rId7"/>
  </sheets>
  <definedNames>
    <definedName name="_xlnm._FilterDatabase" localSheetId="2" hidden="1">'02_每日行程'!$A$2:$P$20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NT$&quot;#,##0"/>
    <numFmt numFmtId="165" formatCode="&quot;NZ$&quot;#,##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color rgb="001F4E79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FFF3B0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165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1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3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怎麼用這份表</t>
        </is>
      </c>
    </row>
    <row r="3" ht="22" customHeight="1">
      <c r="A3" s="2" t="inlineStr">
        <is>
          <t>1. 先改 01_總覽 的黃色格子：實際機票、匯率、租車報價。</t>
        </is>
      </c>
    </row>
    <row r="4" ht="22" customHeight="1">
      <c r="A4" s="2" t="inlineStr">
        <is>
          <t>2. 02_每日行程 的活動／住宿／餐食／油錢也是黃底，可依訂房改。</t>
        </is>
      </c>
    </row>
    <row r="5" ht="22" customHeight="1">
      <c r="A5" s="2" t="inlineStr">
        <is>
          <t>3. 橘色列是長途或看天氣的日子：4/20 西岸、4/22 冰川、4/24 Haast、4/28 米佛、4/29 回麥肯齊。</t>
        </is>
      </c>
    </row>
    <row r="6" ht="22" customHeight="1">
      <c r="A6" s="2" t="inlineStr">
        <is>
          <t>4. 班機：2027/4/15 23:55 台北出發，2027/4/17 凌晨到基督城；2027/5/4 15:00 基督城回。</t>
        </is>
      </c>
    </row>
    <row r="7" ht="22" customHeight="1">
      <c r="A7" s="2" t="inlineStr">
        <is>
          <t>5. 下載：GitHub 檔案頁按 Download raw file。兩個 xlsx 是同一本。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 ht="28" customHeight="1">
      <c r="A1" s="1" t="inlineStr">
        <is>
          <t>紐西蘭南島 chill 行程｜兩人｜2027/4/15 去、5/4 回</t>
        </is>
      </c>
    </row>
    <row r="2">
      <c r="A2" s="3" t="inlineStr">
        <is>
          <t>黃色格子可改。改人數、匯率、機票，後面各表會跟著算。</t>
        </is>
      </c>
    </row>
    <row r="3">
      <c r="A3" s="4" t="inlineStr">
        <is>
          <t>可改假設</t>
        </is>
      </c>
    </row>
    <row r="4">
      <c r="A4" s="5" t="inlineStr">
        <is>
          <t>人數</t>
        </is>
      </c>
      <c r="B4" s="6" t="n">
        <v>2</v>
      </c>
      <c r="C4" s="7" t="inlineStr">
        <is>
          <t>人</t>
        </is>
      </c>
    </row>
    <row r="5">
      <c r="A5" s="5" t="inlineStr">
        <is>
          <t>匯率（1 NZD）</t>
        </is>
      </c>
      <c r="B5" s="8" t="n">
        <v>18</v>
      </c>
      <c r="C5" s="7" t="inlineStr">
        <is>
          <t>TWD</t>
        </is>
      </c>
    </row>
    <row r="6">
      <c r="A6" s="5" t="inlineStr">
        <is>
          <t>機票一人（含稅，請改成實際票價）</t>
        </is>
      </c>
      <c r="B6" s="8" t="n">
        <v>40000</v>
      </c>
      <c r="C6" s="7" t="inlineStr">
        <is>
          <t>TWD</t>
        </is>
      </c>
    </row>
    <row r="7">
      <c r="A7" s="5" t="inlineStr">
        <is>
          <t>租車日數</t>
        </is>
      </c>
      <c r="B7" s="6" t="n">
        <v>18</v>
      </c>
      <c r="C7" s="7" t="inlineStr">
        <is>
          <t>天</t>
        </is>
      </c>
    </row>
    <row r="8">
      <c r="A8" s="5" t="inlineStr">
        <is>
          <t>租車本體／天</t>
        </is>
      </c>
      <c r="B8" s="9" t="n">
        <v>58</v>
      </c>
      <c r="C8" s="7" t="inlineStr">
        <is>
          <t>NZD</t>
        </is>
      </c>
    </row>
    <row r="9">
      <c r="A9" s="5" t="inlineStr">
        <is>
          <t>全險／零自負額／天</t>
        </is>
      </c>
      <c r="B9" s="9" t="n">
        <v>32</v>
      </c>
      <c r="C9" s="7" t="inlineStr">
        <is>
          <t>NZD</t>
        </is>
      </c>
    </row>
    <row r="10">
      <c r="A10" s="5" t="inlineStr">
        <is>
          <t>餐食兩人／天（平均）</t>
        </is>
      </c>
      <c r="B10" s="9" t="n">
        <v>128</v>
      </c>
      <c r="C10" s="7" t="inlineStr">
        <is>
          <t>NZD</t>
        </is>
      </c>
    </row>
    <row r="12">
      <c r="A12" s="4" t="inlineStr">
        <is>
          <t>兩人總表（連動每日表）</t>
        </is>
      </c>
    </row>
    <row r="13" ht="22" customHeight="1">
      <c r="A13" s="10" t="inlineStr">
        <is>
          <t>項目</t>
        </is>
      </c>
      <c r="B13" s="10" t="inlineStr">
        <is>
          <t>兩人 NZD</t>
        </is>
      </c>
      <c r="C13" s="10" t="inlineStr">
        <is>
          <t>兩人 TWD</t>
        </is>
      </c>
      <c r="D13" s="10" t="inlineStr">
        <is>
          <t>每人 TWD</t>
        </is>
      </c>
      <c r="E13" s="10" t="inlineStr">
        <is>
          <t>備註</t>
        </is>
      </c>
    </row>
    <row r="14">
      <c r="A14" s="11" t="inlineStr">
        <is>
          <t>機票</t>
        </is>
      </c>
      <c r="B14" s="12">
        <f>'01_總覽'!B4*'01_總覽'!B6/'01_總覽'!B5</f>
        <v/>
      </c>
      <c r="C14" s="13">
        <f>B14*$B$5</f>
        <v/>
      </c>
      <c r="D14" s="13">
        <f>C14/$B$4</f>
        <v/>
      </c>
      <c r="E14" s="11" t="inlineStr">
        <is>
          <t>實際訂位後改 B6</t>
        </is>
      </c>
    </row>
    <row r="15">
      <c r="A15" s="11" t="inlineStr">
        <is>
          <t>NZeTA + IVL</t>
        </is>
      </c>
      <c r="B15" s="12" t="n">
        <v>234</v>
      </c>
      <c r="C15" s="13">
        <f>B15*$B$5</f>
        <v/>
      </c>
      <c r="D15" s="13">
        <f>C15/$B$4</f>
        <v/>
      </c>
      <c r="E15" s="11" t="inlineStr">
        <is>
          <t>NZ$17/23 + NZ$100，兩人</t>
        </is>
      </c>
    </row>
    <row r="16">
      <c r="A16" s="11" t="inlineStr">
        <is>
          <t>旅遊保險</t>
        </is>
      </c>
      <c r="B16" s="12" t="n">
        <v>420</v>
      </c>
      <c r="C16" s="13">
        <f>B16*$B$5</f>
        <v/>
      </c>
      <c r="D16" s="13">
        <f>C16/$B$4</f>
        <v/>
      </c>
      <c r="E16" s="11" t="inlineStr">
        <is>
          <t>約 20 天、兩人</t>
        </is>
      </c>
    </row>
    <row r="17">
      <c r="A17" s="11" t="inlineStr">
        <is>
          <t>住宿 17 晚</t>
        </is>
      </c>
      <c r="B17" s="12">
        <f>SUM('02_每日行程'!I3:I20)</f>
        <v/>
      </c>
      <c r="C17" s="13">
        <f>B17*$B$5</f>
        <v/>
      </c>
      <c r="D17" s="13">
        <f>C17/$B$4</f>
        <v/>
      </c>
      <c r="E17" s="11" t="inlineStr">
        <is>
          <t>含箭鎮／蒂卡波秋季溢價</t>
        </is>
      </c>
    </row>
    <row r="18">
      <c r="A18" s="11" t="inlineStr">
        <is>
          <t>租車本體</t>
        </is>
      </c>
      <c r="B18" s="12">
        <f>B7*B8</f>
        <v/>
      </c>
      <c r="C18" s="13">
        <f>B18*$B$5</f>
        <v/>
      </c>
      <c r="D18" s="13">
        <f>C18/$B$4</f>
        <v/>
      </c>
      <c r="E18" s="11" t="inlineStr">
        <is>
          <t>CHC 取還、小車自排</t>
        </is>
      </c>
    </row>
    <row r="19">
      <c r="A19" s="11" t="inlineStr">
        <is>
          <t>租車全險</t>
        </is>
      </c>
      <c r="B19" s="12">
        <f>B7*B9</f>
        <v/>
      </c>
      <c r="C19" s="13">
        <f>B19*$B$5</f>
        <v/>
      </c>
      <c r="D19" s="13">
        <f>C19/$B$4</f>
        <v/>
      </c>
      <c r="E19" s="11" t="inlineStr">
        <is>
          <t>零自負額＋建議含玻璃／輪胎</t>
        </is>
      </c>
    </row>
    <row r="20">
      <c r="A20" s="11" t="inlineStr">
        <is>
          <t>油錢</t>
        </is>
      </c>
      <c r="B20" s="12">
        <f>SUM('02_每日行程'!K3:K20)</f>
        <v/>
      </c>
      <c r="C20" s="13">
        <f>B20*$B$5</f>
        <v/>
      </c>
      <c r="D20" s="13">
        <f>C20/$B$4</f>
        <v/>
      </c>
      <c r="E20" s="11" t="inlineStr">
        <is>
          <t>約 2,760 km</t>
        </is>
      </c>
    </row>
    <row r="21">
      <c r="A21" s="11" t="inlineStr">
        <is>
          <t>餐食</t>
        </is>
      </c>
      <c r="B21" s="12">
        <f>SUM('02_每日行程'!J3:J20)</f>
        <v/>
      </c>
      <c r="C21" s="13">
        <f>B21*$B$5</f>
        <v/>
      </c>
      <c r="D21" s="13">
        <f>C21/$B$4</f>
        <v/>
      </c>
      <c r="E21" s="11" t="inlineStr">
        <is>
          <t>兩人三餐</t>
        </is>
      </c>
    </row>
    <row r="22">
      <c r="A22" s="11" t="inlineStr">
        <is>
          <t>活動（表內 5 項）</t>
        </is>
      </c>
      <c r="B22" s="12">
        <f>SUM('02_每日行程'!H3:H20)</f>
        <v/>
      </c>
      <c r="C22" s="13">
        <f>B22*$B$5</f>
        <v/>
      </c>
      <c r="D22" s="13">
        <f>C22/$B$4</f>
        <v/>
      </c>
      <c r="E22" s="11" t="inlineStr">
        <is>
          <t>賞鯨＋冰川＋米佛＋探險＋觀星</t>
        </is>
      </c>
    </row>
    <row r="23">
      <c r="A23" s="11" t="inlineStr">
        <is>
          <t>雜支／停車／洗衣</t>
        </is>
      </c>
      <c r="B23" s="12" t="n">
        <v>250</v>
      </c>
      <c r="C23" s="13">
        <f>B23*$B$5</f>
        <v/>
      </c>
      <c r="D23" s="13">
        <f>C23/$B$4</f>
        <v/>
      </c>
      <c r="E23" s="11" t="inlineStr">
        <is>
          <t>米佛停車場等</t>
        </is>
      </c>
    </row>
    <row r="24">
      <c r="A24" s="5" t="inlineStr">
        <is>
          <t>合計</t>
        </is>
      </c>
      <c r="B24" s="14">
        <f>SUM(B14:B23)</f>
        <v/>
      </c>
      <c r="C24" s="15">
        <f>B24*$B$5</f>
        <v/>
      </c>
      <c r="D24" s="15">
        <f>C24/$B$4</f>
        <v/>
      </c>
      <c r="E24" s="5" t="n"/>
    </row>
    <row r="25">
      <c r="A25" s="16" t="inlineStr">
        <is>
          <t>含 10% 緩衝</t>
        </is>
      </c>
      <c r="B25" s="17">
        <f>B24*1.1</f>
        <v/>
      </c>
      <c r="C25" s="18">
        <f>B25*$B$5</f>
        <v/>
      </c>
      <c r="D25" s="18">
        <f>C25/$B$4</f>
        <v/>
      </c>
      <c r="E25" s="19" t="inlineStr">
        <is>
          <t>票價／全險／秋季住宿都可能再漲</t>
        </is>
      </c>
    </row>
    <row r="27">
      <c r="A27" s="4" t="inlineStr">
        <is>
          <t>這次跟上一版 14 天的差別</t>
        </is>
      </c>
    </row>
    <row r="28" ht="32" customHeight="1">
      <c r="A28" s="2" t="inlineStr">
        <is>
          <t>4/15 23:55 起飛，4/17 凌晨到基督城；5/4 15:00 從基督城回。南島 17 晚、18 個白天。</t>
        </is>
      </c>
    </row>
    <row r="29" ht="32" customHeight="1">
      <c r="A29" s="2" t="inlineStr">
        <is>
          <t>路線改 chill：凱庫拉 2 晚、弗蘭茲 3 晚、箭鎮 3 晚、普卡基＋蒂卡波 4 晚。砍皮克頓、但尼丁、奧瑪魯。</t>
        </is>
      </c>
    </row>
    <row r="30" ht="32" customHeight="1">
      <c r="A30" s="2" t="inlineStr">
        <is>
          <t>箭鎮 4 月下旬是金黃季。2027 Autumn Festival 是 4/15–18，你們 4/24 才到，人較少、葉子通常還在。</t>
        </is>
      </c>
    </row>
    <row r="31" ht="32" customHeight="1">
      <c r="A31" s="2" t="inlineStr">
        <is>
          <t>租車全險不便宜（約每天 NZ$25–35），但南島標準自負額 NZ$3,000–6,000，建議買。18 天全險大約 NZ$576／NT$10,368。</t>
        </is>
      </c>
    </row>
  </sheetData>
  <mergeCells count="6">
    <mergeCell ref="A30:E30"/>
    <mergeCell ref="A2:F2"/>
    <mergeCell ref="A29:E29"/>
    <mergeCell ref="A28:E28"/>
    <mergeCell ref="A1:F1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6" customWidth="1" min="3" max="3"/>
    <col width="16" customWidth="1" min="4" max="4"/>
    <col width="28" customWidth="1" min="5" max="5"/>
    <col width="8" customWidth="1" min="6" max="6"/>
    <col width="46" customWidth="1" min="7" max="7"/>
    <col width="28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52" customWidth="1" min="16" max="16"/>
  </cols>
  <sheetData>
    <row r="1">
      <c r="A1" s="1" t="inlineStr">
        <is>
          <t>18 天 chill 逐日｜黃色＝可改數字｜橘色列＝車程或天氣風險</t>
        </is>
      </c>
    </row>
    <row r="2" ht="24" customHeight="1">
      <c r="A2" s="10" t="inlineStr">
        <is>
          <t>日</t>
        </is>
      </c>
      <c r="B2" s="10" t="inlineStr">
        <is>
          <t>日期</t>
        </is>
      </c>
      <c r="C2" s="10" t="inlineStr">
        <is>
          <t>星期</t>
        </is>
      </c>
      <c r="D2" s="10" t="inlineStr">
        <is>
          <t>過夜</t>
        </is>
      </c>
      <c r="E2" s="10" t="inlineStr">
        <is>
          <t>車程</t>
        </is>
      </c>
      <c r="F2" s="10" t="inlineStr">
        <is>
          <t>公里</t>
        </is>
      </c>
      <c r="G2" s="10" t="inlineStr">
        <is>
          <t>白天行程</t>
        </is>
      </c>
      <c r="H2" s="10" t="inlineStr">
        <is>
          <t>指定活動</t>
        </is>
      </c>
      <c r="I2" s="10" t="inlineStr">
        <is>
          <t>活動兩人 NZD</t>
        </is>
      </c>
      <c r="J2" s="10" t="inlineStr">
        <is>
          <t>住宿兩人 NZD</t>
        </is>
      </c>
      <c r="K2" s="10" t="inlineStr">
        <is>
          <t>餐食兩人 NZD</t>
        </is>
      </c>
      <c r="L2" s="10" t="inlineStr">
        <is>
          <t>油錢 NZD</t>
        </is>
      </c>
      <c r="M2" s="10" t="inlineStr">
        <is>
          <t>租車日攤 NZD</t>
        </is>
      </c>
      <c r="N2" s="10" t="inlineStr">
        <is>
          <t>當天兩人 NZD</t>
        </is>
      </c>
      <c r="O2" s="10" t="inlineStr">
        <is>
          <t>當天兩人 TWD</t>
        </is>
      </c>
      <c r="P2" s="10" t="inlineStr">
        <is>
          <t>住宿建議／備註</t>
        </is>
      </c>
    </row>
    <row r="3" ht="48" customHeight="1">
      <c r="A3" s="20" t="n">
        <v>1</v>
      </c>
      <c r="B3" s="21" t="inlineStr">
        <is>
          <t>2027/4/17</t>
        </is>
      </c>
      <c r="C3" s="21" t="inlineStr">
        <is>
          <t>六</t>
        </is>
      </c>
      <c r="D3" s="21" t="inlineStr">
        <is>
          <t>基督城</t>
        </is>
      </c>
      <c r="E3" s="11" t="inlineStr">
        <is>
          <t>當地</t>
        </is>
      </c>
      <c r="F3" s="22" t="n">
        <v>30</v>
      </c>
      <c r="G3" s="11" t="inlineStr">
        <is>
          <t>凌晨抵 CHC，休息到中午。機場取車、超市補貨、植物園或 New Brighton 散步。不排活動。</t>
        </is>
      </c>
      <c r="H3" s="11" t="inlineStr">
        <is>
          <t>—</t>
        </is>
      </c>
      <c r="I3" s="23" t="n">
        <v>0</v>
      </c>
      <c r="J3" s="23" t="n">
        <v>160</v>
      </c>
      <c r="K3" s="23" t="n">
        <v>100</v>
      </c>
      <c r="L3" s="23" t="n">
        <v>8</v>
      </c>
      <c r="M3" s="12">
        <f>('01_總覽'!$B$8+'01_總覽'!$B$9)</f>
        <v/>
      </c>
      <c r="N3" s="24">
        <f>I3+J3+K3+L3+M3</f>
        <v/>
      </c>
      <c r="O3" s="13">
        <f>N3*'01_總覽'!$B$5</f>
        <v/>
      </c>
      <c r="P3" s="11" t="inlineStr">
        <is>
          <t>機場 / 市區 motel｜第一天右駕，只開短程。租車櫃台約 08:00 開門。</t>
        </is>
      </c>
    </row>
    <row r="4" ht="48" customHeight="1">
      <c r="A4" s="25" t="n">
        <v>2</v>
      </c>
      <c r="B4" s="7" t="inlineStr">
        <is>
          <t>2027/4/18</t>
        </is>
      </c>
      <c r="C4" s="7" t="inlineStr">
        <is>
          <t>日</t>
        </is>
      </c>
      <c r="D4" s="7" t="inlineStr">
        <is>
          <t>凱庫拉</t>
        </is>
      </c>
      <c r="E4" s="26" t="inlineStr">
        <is>
          <t>CHC→Kaikoura 2.5h</t>
        </is>
      </c>
      <c r="F4" s="27" t="n">
        <v>180</v>
      </c>
      <c r="G4" s="26" t="inlineStr">
        <is>
          <t>沿海 SH1 北上。下午半島步道、看海豹。傍晚龍蝦。不趕賞鯨。</t>
        </is>
      </c>
      <c r="H4" s="26" t="inlineStr">
        <is>
          <t>—</t>
        </is>
      </c>
      <c r="I4" s="23" t="n">
        <v>0</v>
      </c>
      <c r="J4" s="23" t="n">
        <v>150</v>
      </c>
      <c r="K4" s="23" t="n">
        <v>130</v>
      </c>
      <c r="L4" s="23" t="n">
        <v>40</v>
      </c>
      <c r="M4" s="28">
        <f>('01_總覽'!$B$8+'01_總覽'!$B$9)</f>
        <v/>
      </c>
      <c r="N4" s="29">
        <f>I4+J4+K4+L4+M4</f>
        <v/>
      </c>
      <c r="O4" s="30">
        <f>N4*'01_總覽'!$B$5</f>
        <v/>
      </c>
      <c r="P4" s="26" t="inlineStr">
        <is>
          <t>Sudima / Anchor Inn 海濱｜週日路況單純。賞鯨留到週一，取消還有隔天緩衝。</t>
        </is>
      </c>
    </row>
    <row r="5" ht="48" customHeight="1">
      <c r="A5" s="20" t="n">
        <v>3</v>
      </c>
      <c r="B5" s="21" t="inlineStr">
        <is>
          <t>2027/4/19</t>
        </is>
      </c>
      <c r="C5" s="21" t="inlineStr">
        <is>
          <t>一</t>
        </is>
      </c>
      <c r="D5" s="21" t="inlineStr">
        <is>
          <t>凱庫拉</t>
        </is>
      </c>
      <c r="E5" s="11" t="inlineStr">
        <is>
          <t>當地</t>
        </is>
      </c>
      <c r="F5" s="22" t="n">
        <v>40</v>
      </c>
      <c r="G5" s="11" t="inlineStr">
        <is>
          <t>上午 Whale Watch（建議 10:30）。下午發呆、海岸。若取消，改訂 4/20 早班再出發。</t>
        </is>
      </c>
      <c r="H5" s="11" t="inlineStr">
        <is>
          <t>凱庫拉觀鯨 Ocean Cabin</t>
        </is>
      </c>
      <c r="I5" s="23" t="n">
        <v>370</v>
      </c>
      <c r="J5" s="23" t="n">
        <v>150</v>
      </c>
      <c r="K5" s="23" t="n">
        <v>140</v>
      </c>
      <c r="L5" s="23" t="n">
        <v>10</v>
      </c>
      <c r="M5" s="12">
        <f>('01_總覽'!$B$8+'01_總覽'!$B$9)</f>
        <v/>
      </c>
      <c r="N5" s="24">
        <f>I5+J5+K5+L5+M5</f>
        <v/>
      </c>
      <c r="O5" s="13">
        <f>N5*'01_總覽'!$B$5</f>
        <v/>
      </c>
      <c r="P5" s="11" t="inlineStr">
        <is>
          <t>連住第 2 晚｜官網 NZ$185／人至 2027/9/30。看不到鯨退 80%。暈船藥自備。</t>
        </is>
      </c>
    </row>
    <row r="6" ht="48" customHeight="1">
      <c r="A6" s="31" t="n">
        <v>4</v>
      </c>
      <c r="B6" s="32" t="inlineStr">
        <is>
          <t>2027/4/20</t>
        </is>
      </c>
      <c r="C6" s="32" t="inlineStr">
        <is>
          <t>二</t>
        </is>
      </c>
      <c r="D6" s="32" t="inlineStr">
        <is>
          <t>霍基蒂卡</t>
        </is>
      </c>
      <c r="E6" s="33" t="inlineStr">
        <is>
          <t>經 Hanmer＋Lewis Pass 6.5h</t>
        </is>
      </c>
      <c r="F6" s="34" t="n">
        <v>420</v>
      </c>
      <c r="G6" s="33" t="inlineStr">
        <is>
          <t>經漢默泉泡湯 1.5–2h（不必過夜），再走 Lewis Pass 到西岸。夠力再停 Pancake Rocks。</t>
        </is>
      </c>
      <c r="H6" s="33" t="inlineStr">
        <is>
          <t>漢默泉泡湯（可選）</t>
        </is>
      </c>
      <c r="I6" s="23" t="n">
        <v>80</v>
      </c>
      <c r="J6" s="23" t="n">
        <v>140</v>
      </c>
      <c r="K6" s="23" t="n">
        <v>130</v>
      </c>
      <c r="L6" s="23" t="n">
        <v>90</v>
      </c>
      <c r="M6" s="35">
        <f>('01_總覽'!$B$8+'01_總覽'!$B$9)</f>
        <v/>
      </c>
      <c r="N6" s="36">
        <f>I6+J6+K6+L6+M6</f>
        <v/>
      </c>
      <c r="O6" s="37">
        <f>N6*'01_總覽'!$B$5</f>
        <v/>
      </c>
      <c r="P6" s="33" t="inlineStr">
        <is>
          <t>Hokitika motel｜全行程最長車日。漢默泡湯當中途休息。沿路加油。</t>
        </is>
      </c>
    </row>
    <row r="7" ht="48" customHeight="1">
      <c r="A7" s="20" t="n">
        <v>5</v>
      </c>
      <c r="B7" s="21" t="inlineStr">
        <is>
          <t>2027/4/21</t>
        </is>
      </c>
      <c r="C7" s="21" t="inlineStr">
        <is>
          <t>三</t>
        </is>
      </c>
      <c r="D7" s="21" t="inlineStr">
        <is>
          <t>弗蘭茲約瑟夫</t>
        </is>
      </c>
      <c r="E7" s="11" t="inlineStr">
        <is>
          <t>Hokitika→Franz 2h</t>
        </is>
      </c>
      <c r="F7" s="22" t="n">
        <v>160</v>
      </c>
      <c r="G7" s="11" t="inlineStr">
        <is>
          <t>上午 Hokitika Gorge（免費、水色很美）。午後抵冰川村報到、走谷底步道遠看冰。</t>
        </is>
      </c>
      <c r="H7" s="11" t="inlineStr">
        <is>
          <t>—</t>
        </is>
      </c>
      <c r="I7" s="23" t="n">
        <v>0</v>
      </c>
      <c r="J7" s="23" t="n">
        <v>180</v>
      </c>
      <c r="K7" s="23" t="n">
        <v>130</v>
      </c>
      <c r="L7" s="23" t="n">
        <v>35</v>
      </c>
      <c r="M7" s="12">
        <f>('01_總覽'!$B$8+'01_總覽'!$B$9)</f>
        <v/>
      </c>
      <c r="N7" s="24">
        <f>I7+J7+K7+L7+M7</f>
        <v/>
      </c>
      <c r="O7" s="13">
        <f>N7*'01_總覽'!$B$5</f>
        <v/>
      </c>
      <c r="P7" s="11" t="inlineStr">
        <is>
          <t>Franz 中價 motel｜Heli-hike 明天。今天只適應西岸天氣。</t>
        </is>
      </c>
    </row>
    <row r="8" ht="48" customHeight="1">
      <c r="A8" s="31" t="n">
        <v>6</v>
      </c>
      <c r="B8" s="32" t="inlineStr">
        <is>
          <t>2027/4/22</t>
        </is>
      </c>
      <c r="C8" s="32" t="inlineStr">
        <is>
          <t>四</t>
        </is>
      </c>
      <c r="D8" s="32" t="inlineStr">
        <is>
          <t>弗蘭茲約瑟夫</t>
        </is>
      </c>
      <c r="E8" s="33" t="inlineStr">
        <is>
          <t>當地</t>
        </is>
      </c>
      <c r="F8" s="34" t="n">
        <v>20</v>
      </c>
      <c r="G8" s="33" t="inlineStr">
        <is>
          <t>直升機冰川健行（半天，裝備全含）。取消則改 4/23。下午回房休息。</t>
        </is>
      </c>
      <c r="H8" s="33" t="inlineStr">
        <is>
          <t>Franz heli-hike</t>
        </is>
      </c>
      <c r="I8" s="23" t="n">
        <v>1798</v>
      </c>
      <c r="J8" s="23" t="n">
        <v>180</v>
      </c>
      <c r="K8" s="23" t="n">
        <v>130</v>
      </c>
      <c r="L8" s="23" t="n">
        <v>6</v>
      </c>
      <c r="M8" s="35">
        <f>('01_總覽'!$B$8+'01_總覽'!$B$9)</f>
        <v/>
      </c>
      <c r="N8" s="36">
        <f>I8+J8+K8+L8+M8</f>
        <v/>
      </c>
      <c r="O8" s="37">
        <f>N8*'01_總覽'!$B$5</f>
        <v/>
      </c>
      <c r="P8" s="33" t="inlineStr">
        <is>
          <t>連住｜官網至 2027/9/30 為 NZ$899／人。西岸取消率高，所以連住 3 晚。</t>
        </is>
      </c>
    </row>
    <row r="9" ht="48" customHeight="1">
      <c r="A9" s="20" t="n">
        <v>7</v>
      </c>
      <c r="B9" s="21" t="inlineStr">
        <is>
          <t>2027/4/23</t>
        </is>
      </c>
      <c r="C9" s="21" t="inlineStr">
        <is>
          <t>五</t>
        </is>
      </c>
      <c r="D9" s="21" t="inlineStr">
        <is>
          <t>弗蘭茲約瑟夫</t>
        </is>
      </c>
      <c r="E9" s="11" t="inlineStr">
        <is>
          <t>Franz↔Fox 往返</t>
        </is>
      </c>
      <c r="F9" s="22" t="n">
        <v>50</v>
      </c>
      <c r="G9" s="11" t="inlineStr">
        <is>
          <t>天氣備援日。能飛就補 heli-hike；不能就黎明去 Lake Matheson 拍鏡面。整天可以很閒。</t>
        </is>
      </c>
      <c r="H9" s="11" t="inlineStr">
        <is>
          <t>—</t>
        </is>
      </c>
      <c r="I9" s="23" t="n">
        <v>0</v>
      </c>
      <c r="J9" s="23" t="n">
        <v>180</v>
      </c>
      <c r="K9" s="23" t="n">
        <v>130</v>
      </c>
      <c r="L9" s="23" t="n">
        <v>12</v>
      </c>
      <c r="M9" s="12">
        <f>('01_總覽'!$B$8+'01_總覽'!$B$9)</f>
        <v/>
      </c>
      <c r="N9" s="24">
        <f>I9+J9+K9+L9+M9</f>
        <v/>
      </c>
      <c r="O9" s="13">
        <f>N9*'01_總覽'!$B$5</f>
        <v/>
      </c>
      <c r="P9" s="11" t="inlineStr">
        <is>
          <t>連住第 3 晚｜這晚是為冰川天氣買的保險，不要再往前趕。</t>
        </is>
      </c>
    </row>
    <row r="10" ht="48" customHeight="1">
      <c r="A10" s="31" t="n">
        <v>8</v>
      </c>
      <c r="B10" s="32" t="inlineStr">
        <is>
          <t>2027/4/24</t>
        </is>
      </c>
      <c r="C10" s="32" t="inlineStr">
        <is>
          <t>六</t>
        </is>
      </c>
      <c r="D10" s="32" t="inlineStr">
        <is>
          <t>箭鎮</t>
        </is>
      </c>
      <c r="E10" s="33" t="inlineStr">
        <is>
          <t>Franz→Haast→Wanaka→Arrowtown 5h</t>
        </is>
      </c>
      <c r="F10" s="34" t="n">
        <v>400</v>
      </c>
      <c r="G10" s="33" t="inlineStr">
        <is>
          <t>Haast Pass 本身是景。Wanaka 咖啡＋That Wanaka Tree。傍晚進箭鎮住下來。</t>
        </is>
      </c>
      <c r="H10" s="33" t="inlineStr">
        <is>
          <t>—</t>
        </is>
      </c>
      <c r="I10" s="23" t="n">
        <v>0</v>
      </c>
      <c r="J10" s="23" t="n">
        <v>230</v>
      </c>
      <c r="K10" s="23" t="n">
        <v>140</v>
      </c>
      <c r="L10" s="23" t="n">
        <v>85</v>
      </c>
      <c r="M10" s="35">
        <f>('01_總覽'!$B$8+'01_總覽'!$B$9)</f>
        <v/>
      </c>
      <c r="N10" s="36">
        <f>I10+J10+K10+L10+M10</f>
        <v/>
      </c>
      <c r="O10" s="37">
        <f>N10*'01_總覽'!$B$5</f>
        <v/>
      </c>
      <c r="P10" s="33" t="inlineStr">
        <is>
          <t>箭鎮村內 B&amp;B／motel，不要住皇后鎮｜Haast 前加油。週六箭鎮較擠，先入住，楓葉留明天清晨。</t>
        </is>
      </c>
    </row>
    <row r="11" ht="48" customHeight="1">
      <c r="A11" s="20" t="n">
        <v>9</v>
      </c>
      <c r="B11" s="21" t="inlineStr">
        <is>
          <t>2027/4/25</t>
        </is>
      </c>
      <c r="C11" s="21" t="inlineStr">
        <is>
          <t>日</t>
        </is>
      </c>
      <c r="D11" s="21" t="inlineStr">
        <is>
          <t>箭鎮</t>
        </is>
      </c>
      <c r="E11" s="11" t="inlineStr">
        <is>
          <t>當地／Lake Hayes</t>
        </is>
      </c>
      <c r="F11" s="22" t="n">
        <v>40</v>
      </c>
      <c r="G11" s="11" t="inlineStr">
        <is>
          <t>07:30 前走 Buckingham Street、中國村、Arrow River。再到 Lake Hayes 拍倒影。下午發呆。</t>
        </is>
      </c>
      <c r="H11" s="11" t="inlineStr">
        <is>
          <t>—</t>
        </is>
      </c>
      <c r="I11" s="23" t="n">
        <v>0</v>
      </c>
      <c r="J11" s="23" t="n">
        <v>230</v>
      </c>
      <c r="K11" s="23" t="n">
        <v>140</v>
      </c>
      <c r="L11" s="23" t="n">
        <v>10</v>
      </c>
      <c r="M11" s="12">
        <f>('01_總覽'!$B$8+'01_總覽'!$B$9)</f>
        <v/>
      </c>
      <c r="N11" s="24">
        <f>I11+J11+K11+L11+M11</f>
        <v/>
      </c>
      <c r="O11" s="13">
        <f>N11*'01_總覽'!$B$5</f>
        <v/>
      </c>
      <c r="P11" s="11" t="inlineStr">
        <is>
          <t>連住｜4 月下旬是箭鎮金黃高峰。主要是楊樹、橡樹、楓香，不是台灣那種楓。</t>
        </is>
      </c>
    </row>
    <row r="12" ht="48" customHeight="1">
      <c r="A12" s="25" t="n">
        <v>10</v>
      </c>
      <c r="B12" s="7" t="inlineStr">
        <is>
          <t>2027/4/26</t>
        </is>
      </c>
      <c r="C12" s="7" t="inlineStr">
        <is>
          <t>一</t>
        </is>
      </c>
      <c r="D12" s="7" t="inlineStr">
        <is>
          <t>箭鎮</t>
        </is>
      </c>
      <c r="E12" s="26" t="inlineStr">
        <is>
          <t>可去皇后鎮或 Glenorchy</t>
        </is>
      </c>
      <c r="F12" s="27" t="n">
        <v>80</v>
      </c>
      <c r="G12" s="26" t="inlineStr">
        <is>
          <t>週一比較空。可去 Glenorchy 湖灣，或皇后鎮散步。不跳傘、不彈跳。酒莊要有指定駕駛。</t>
        </is>
      </c>
      <c r="H12" s="26" t="inlineStr">
        <is>
          <t>—</t>
        </is>
      </c>
      <c r="I12" s="23" t="n">
        <v>0</v>
      </c>
      <c r="J12" s="23" t="n">
        <v>230</v>
      </c>
      <c r="K12" s="23" t="n">
        <v>140</v>
      </c>
      <c r="L12" s="23" t="n">
        <v>18</v>
      </c>
      <c r="M12" s="28">
        <f>('01_總覽'!$B$8+'01_總覽'!$B$9)</f>
        <v/>
      </c>
      <c r="N12" s="29">
        <f>I12+J12+K12+L12+M12</f>
        <v/>
      </c>
      <c r="O12" s="30">
        <f>N12*'01_總覽'!$B$5</f>
        <v/>
      </c>
      <c r="P12" s="26" t="inlineStr">
        <is>
          <t>連住第 3 晚｜Arrowtown Autumn Festival 是 4/15–18，你們會錯過人潮，楓葉通常還在。</t>
        </is>
      </c>
    </row>
    <row r="13" ht="48" customHeight="1">
      <c r="A13" s="20" t="n">
        <v>11</v>
      </c>
      <c r="B13" s="21" t="inlineStr">
        <is>
          <t>2027/4/27</t>
        </is>
      </c>
      <c r="C13" s="21" t="inlineStr">
        <is>
          <t>二</t>
        </is>
      </c>
      <c r="D13" s="21" t="inlineStr">
        <is>
          <t>蒂阿瑙</t>
        </is>
      </c>
      <c r="E13" s="11" t="inlineStr">
        <is>
          <t>Arrowtown→Te Anau 2.5h</t>
        </is>
      </c>
      <c r="F13" s="22" t="n">
        <v>190</v>
      </c>
      <c r="G13" s="11" t="inlineStr">
        <is>
          <t>中午前出發即可。超市補米佛隔日食物（沿路沒店）。晚上想去再訂螢火蟲洞，不勉強。</t>
        </is>
      </c>
      <c r="H13" s="11" t="inlineStr">
        <is>
          <t>螢火蟲洞（可選，表內未列）</t>
        </is>
      </c>
      <c r="I13" s="23" t="n">
        <v>0</v>
      </c>
      <c r="J13" s="23" t="n">
        <v>180</v>
      </c>
      <c r="K13" s="23" t="n">
        <v>130</v>
      </c>
      <c r="L13" s="23" t="n">
        <v>42</v>
      </c>
      <c r="M13" s="12">
        <f>('01_總覽'!$B$8+'01_總覽'!$B$9)</f>
        <v/>
      </c>
      <c r="N13" s="24">
        <f>I13+J13+K13+L13+M13</f>
        <v/>
      </c>
      <c r="O13" s="13">
        <f>N13*'01_總覽'!$B$5</f>
        <v/>
      </c>
      <c r="P13" s="11" t="inlineStr">
        <is>
          <t>Distinction / Lakefront｜螢火蟲洞約 NZ$145–154／人。累了就看湖。</t>
        </is>
      </c>
    </row>
    <row r="14" ht="48" customHeight="1">
      <c r="A14" s="31" t="n">
        <v>12</v>
      </c>
      <c r="B14" s="32" t="inlineStr">
        <is>
          <t>2027/4/28</t>
        </is>
      </c>
      <c r="C14" s="32" t="inlineStr">
        <is>
          <t>三</t>
        </is>
      </c>
      <c r="D14" s="32" t="inlineStr">
        <is>
          <t>蒂阿瑙</t>
        </is>
      </c>
      <c r="E14" s="33" t="inlineStr">
        <is>
          <t>Te Anau↔Milford 往返 5h</t>
        </is>
      </c>
      <c r="F14" s="34" t="n">
        <v>240</v>
      </c>
      <c r="G14" s="33" t="inlineStr">
        <is>
          <t>07:00 自駕 SH94：Mirror Lakes、Homer Tunnel。訂 11:10 或 13:30 小船。傍晚回蒂阿瑙。</t>
        </is>
      </c>
      <c r="H14" s="33" t="inlineStr">
        <is>
          <t>米佛峽灣遊船（自駕＋船）</t>
        </is>
      </c>
      <c r="I14" s="23" t="n">
        <v>376</v>
      </c>
      <c r="J14" s="23" t="n">
        <v>180</v>
      </c>
      <c r="K14" s="23" t="n">
        <v>130</v>
      </c>
      <c r="L14" s="23" t="n">
        <v>52</v>
      </c>
      <c r="M14" s="35">
        <f>('01_總覽'!$B$8+'01_總覽'!$B$9)</f>
        <v/>
      </c>
      <c r="N14" s="36">
        <f>I14+J14+K14+L14+M14</f>
        <v/>
      </c>
      <c r="O14" s="37">
        <f>N14*'01_總覽'!$B$5</f>
        <v/>
      </c>
      <c r="P14" s="33" t="inlineStr">
        <is>
          <t>連住｜Mitre Peak／Cruise Milford 約 NZ$179–188。不要買皇后鎮巴士一日遊。</t>
        </is>
      </c>
    </row>
    <row r="15" ht="48" customHeight="1">
      <c r="A15" s="31" t="n">
        <v>13</v>
      </c>
      <c r="B15" s="32" t="inlineStr">
        <is>
          <t>2027/4/29</t>
        </is>
      </c>
      <c r="C15" s="32" t="inlineStr">
        <is>
          <t>四</t>
        </is>
      </c>
      <c r="D15" s="32" t="inlineStr">
        <is>
          <t>普卡基／Twizel</t>
        </is>
      </c>
      <c r="E15" s="33" t="inlineStr">
        <is>
          <t>經 Cromwell＋Lindis 6h</t>
        </is>
      </c>
      <c r="F15" s="34" t="n">
        <v>400</v>
      </c>
      <c r="G15" s="33" t="inlineStr">
        <is>
          <t>回程不繞但尼丁。Lindis Pass 秋天很美。Omarama 可停熱湯池。傍晚抵普卡基看牛奶藍。</t>
        </is>
      </c>
      <c r="H15" s="33" t="inlineStr">
        <is>
          <t>Omarama Hot Tubs（可選）</t>
        </is>
      </c>
      <c r="I15" s="23" t="n">
        <v>0</v>
      </c>
      <c r="J15" s="23" t="n">
        <v>200</v>
      </c>
      <c r="K15" s="23" t="n">
        <v>130</v>
      </c>
      <c r="L15" s="23" t="n">
        <v>85</v>
      </c>
      <c r="M15" s="35">
        <f>('01_總覽'!$B$8+'01_總覽'!$B$9)</f>
        <v/>
      </c>
      <c r="N15" s="36">
        <f>I15+J15+K15+L15+M15</f>
        <v/>
      </c>
      <c r="O15" s="37">
        <f>N15*'01_總覽'!$B$5</f>
        <v/>
      </c>
      <c r="P15" s="33" t="inlineStr">
        <is>
          <t>普卡基湖景 cabin 或 Twizel motel｜Twizel 有超市、比較好住；湖景要訂普卡基路邊。</t>
        </is>
      </c>
    </row>
    <row r="16" ht="48" customHeight="1">
      <c r="A16" s="25" t="n">
        <v>14</v>
      </c>
      <c r="B16" s="7" t="inlineStr">
        <is>
          <t>2027/4/30</t>
        </is>
      </c>
      <c r="C16" s="7" t="inlineStr">
        <is>
          <t>五</t>
        </is>
      </c>
      <c r="D16" s="7" t="inlineStr">
        <is>
          <t>普卡基／Twizel</t>
        </is>
      </c>
      <c r="E16" s="26" t="inlineStr">
        <is>
          <t>Pukaki↔Mt Cook 往返 1.5h</t>
        </is>
      </c>
      <c r="F16" s="27" t="n">
        <v>140</v>
      </c>
      <c r="G16" s="26" t="inlineStr">
        <is>
          <t>庫克山一日：早上 Hooker Valley（免費必走），下午 Glacier Explorers 冰河湖船。</t>
        </is>
      </c>
      <c r="H16" s="26" t="inlineStr">
        <is>
          <t>庫克山 Glacier Explorers</t>
        </is>
      </c>
      <c r="I16" s="23" t="n">
        <v>438</v>
      </c>
      <c r="J16" s="23" t="n">
        <v>200</v>
      </c>
      <c r="K16" s="23" t="n">
        <v>140</v>
      </c>
      <c r="L16" s="23" t="n">
        <v>30</v>
      </c>
      <c r="M16" s="28">
        <f>('01_總覽'!$B$8+'01_總覽'!$B$9)</f>
        <v/>
      </c>
      <c r="N16" s="29">
        <f>I16+J16+K16+L16+M16</f>
        <v/>
      </c>
      <c r="O16" s="30">
        <f>N16*'01_總覽'!$B$5</f>
        <v/>
      </c>
      <c r="P16" s="26" t="inlineStr">
        <is>
          <t>連住，看得到庫克山最好｜船是 NZ$219／人，從 2026/10/1。隱士只上去吃飯／報到，不必硬住。</t>
        </is>
      </c>
    </row>
    <row r="17" ht="48" customHeight="1">
      <c r="A17" s="20" t="n">
        <v>15</v>
      </c>
      <c r="B17" s="21" t="inlineStr">
        <is>
          <t>2027/5/1</t>
        </is>
      </c>
      <c r="C17" s="21" t="inlineStr">
        <is>
          <t>六</t>
        </is>
      </c>
      <c r="D17" s="21" t="inlineStr">
        <is>
          <t>蒂卡波</t>
        </is>
      </c>
      <c r="E17" s="11" t="inlineStr">
        <is>
          <t>Pukaki→Tekapo 50min</t>
        </is>
      </c>
      <c r="F17" s="22" t="n">
        <v>70</v>
      </c>
      <c r="G17" s="11" t="inlineStr">
        <is>
          <t>普卡基再看一次日出。慢慢開到蒂卡波。下午湖邊、Tekapo Springs。教堂等人少再拍。</t>
        </is>
      </c>
      <c r="H17" s="11" t="inlineStr">
        <is>
          <t>蒂卡波溫泉（可選）</t>
        </is>
      </c>
      <c r="I17" s="23" t="n">
        <v>0</v>
      </c>
      <c r="J17" s="23" t="n">
        <v>230</v>
      </c>
      <c r="K17" s="23" t="n">
        <v>130</v>
      </c>
      <c r="L17" s="23" t="n">
        <v>16</v>
      </c>
      <c r="M17" s="12">
        <f>('01_總覽'!$B$8+'01_總覽'!$B$9)</f>
        <v/>
      </c>
      <c r="N17" s="24">
        <f>I17+J17+K17+L17+M17</f>
        <v/>
      </c>
      <c r="O17" s="13">
        <f>N17*'01_總覽'!$B$5</f>
        <v/>
      </c>
      <c r="P17" s="11" t="inlineStr">
        <is>
          <t>湖景 motel；無景房不值得｜牧羊人教堂日出比日落空。這兩晚就是發呆用的。</t>
        </is>
      </c>
    </row>
    <row r="18" ht="48" customHeight="1">
      <c r="A18" s="25" t="n">
        <v>16</v>
      </c>
      <c r="B18" s="7" t="inlineStr">
        <is>
          <t>2027/5/2</t>
        </is>
      </c>
      <c r="C18" s="7" t="inlineStr">
        <is>
          <t>日</t>
        </is>
      </c>
      <c r="D18" s="7" t="inlineStr">
        <is>
          <t>蒂卡波</t>
        </is>
      </c>
      <c r="E18" s="26" t="inlineStr">
        <is>
          <t>當地</t>
        </is>
      </c>
      <c r="F18" s="27" t="n">
        <v>25</v>
      </c>
      <c r="G18" s="26" t="inlineStr">
        <is>
          <t>整天留著。想觀星就訂 Dark Sky 約翰山 Summit；雲多可改 Crater 或自己看。</t>
        </is>
      </c>
      <c r="H18" s="26" t="inlineStr">
        <is>
          <t>Dark Sky 約翰山 Summit</t>
        </is>
      </c>
      <c r="I18" s="23" t="n">
        <v>478</v>
      </c>
      <c r="J18" s="23" t="n">
        <v>230</v>
      </c>
      <c r="K18" s="23" t="n">
        <v>130</v>
      </c>
      <c r="L18" s="23" t="n">
        <v>6</v>
      </c>
      <c r="M18" s="28">
        <f>('01_總覽'!$B$8+'01_總覽'!$B$9)</f>
        <v/>
      </c>
      <c r="N18" s="29">
        <f>I18+J18+K18+L18+M18</f>
        <v/>
      </c>
      <c r="O18" s="30">
        <f>N18*'01_總覽'!$B$5</f>
        <v/>
      </c>
      <c r="P18" s="26" t="inlineStr">
        <is>
          <t>連住第 2 晚｜Summit 約 NZ$219–239。天氣不好有室內備援。</t>
        </is>
      </c>
    </row>
    <row r="19" ht="48" customHeight="1">
      <c r="A19" s="20" t="n">
        <v>17</v>
      </c>
      <c r="B19" s="21" t="inlineStr">
        <is>
          <t>2027/5/3</t>
        </is>
      </c>
      <c r="C19" s="21" t="inlineStr">
        <is>
          <t>一</t>
        </is>
      </c>
      <c r="D19" s="21" t="inlineStr">
        <is>
          <t>基督城</t>
        </is>
      </c>
      <c r="E19" s="11" t="inlineStr">
        <is>
          <t>Tekapo→CHC 3.5h</t>
        </is>
      </c>
      <c r="F19" s="22" t="n">
        <v>230</v>
      </c>
      <c r="G19" s="11" t="inlineStr">
        <is>
          <t>上午離開。還車前加滿油。住機場附近。有力氣才去阿卡羅阿看企鵝，不排進預算。</t>
        </is>
      </c>
      <c r="H19" s="11" t="inlineStr">
        <is>
          <t>—</t>
        </is>
      </c>
      <c r="I19" s="23" t="n">
        <v>0</v>
      </c>
      <c r="J19" s="23" t="n">
        <v>160</v>
      </c>
      <c r="K19" s="23" t="n">
        <v>120</v>
      </c>
      <c r="L19" s="23" t="n">
        <v>50</v>
      </c>
      <c r="M19" s="12">
        <f>('01_總覽'!$B$8+'01_總覽'!$B$9)</f>
        <v/>
      </c>
      <c r="N19" s="24">
        <f>I19+J19+K19+L19+M19</f>
        <v/>
      </c>
      <c r="O19" s="13">
        <f>N19*'01_總覽'!$B$5</f>
        <v/>
      </c>
      <c r="P19" s="11" t="inlineStr">
        <is>
          <t>CHC 機場 10 分鐘內 motel｜5/4 15:00 起飛，不要 5/4 早上才從蒂卡波出發。</t>
        </is>
      </c>
    </row>
    <row r="20" ht="48" customHeight="1">
      <c r="A20" s="25" t="n">
        <v>18</v>
      </c>
      <c r="B20" s="7" t="inlineStr">
        <is>
          <t>2027/5/4</t>
        </is>
      </c>
      <c r="C20" s="7" t="inlineStr">
        <is>
          <t>二</t>
        </is>
      </c>
      <c r="D20" s="7" t="inlineStr">
        <is>
          <t>回台</t>
        </is>
      </c>
      <c r="E20" s="26" t="inlineStr">
        <is>
          <t>還車→機場</t>
        </is>
      </c>
      <c r="F20" s="27" t="n">
        <v>20</v>
      </c>
      <c r="G20" s="26" t="inlineStr">
        <is>
          <t>11:00 前還車，13:00 到機場。CHC 15:00 起飛。</t>
        </is>
      </c>
      <c r="H20" s="26" t="inlineStr">
        <is>
          <t>—</t>
        </is>
      </c>
      <c r="I20" s="23" t="n">
        <v>0</v>
      </c>
      <c r="J20" s="23" t="n">
        <v>0</v>
      </c>
      <c r="K20" s="23" t="n">
        <v>80</v>
      </c>
      <c r="L20" s="23" t="n">
        <v>6</v>
      </c>
      <c r="M20" s="28">
        <f>('01_總覽'!$B$8+'01_總覽'!$B$9)</f>
        <v/>
      </c>
      <c r="N20" s="29">
        <f>I20+J20+K20+L20+M20</f>
        <v/>
      </c>
      <c r="O20" s="30">
        <f>N20*'01_總覽'!$B$5</f>
        <v/>
      </c>
      <c r="P20" s="26" t="inlineStr">
        <is>
          <t>無住宿｜國際／轉機都請預留 2 小時以上。</t>
        </is>
      </c>
    </row>
    <row r="21" ht="22" customHeight="1">
      <c r="A21" s="38" t="inlineStr">
        <is>
          <t>合計</t>
        </is>
      </c>
      <c r="B21" s="5" t="n"/>
      <c r="C21" s="5" t="n"/>
      <c r="D21" s="5" t="n"/>
      <c r="E21" s="5" t="n"/>
      <c r="F21" s="39">
        <f>SUM(F3:F20)</f>
        <v/>
      </c>
      <c r="G21" s="5" t="n"/>
      <c r="H21" s="5" t="n"/>
      <c r="I21" s="14">
        <f>SUM(I3:I20)</f>
        <v/>
      </c>
      <c r="J21" s="14">
        <f>SUM(J3:J20)</f>
        <v/>
      </c>
      <c r="K21" s="14">
        <f>SUM(K3:K20)</f>
        <v/>
      </c>
      <c r="L21" s="14">
        <f>SUM(L3:L20)</f>
        <v/>
      </c>
      <c r="M21" s="14">
        <f>SUM(M3:M20)</f>
        <v/>
      </c>
      <c r="N21" s="14">
        <f>SUM(N3:N20)</f>
        <v/>
      </c>
      <c r="O21" s="15">
        <f>N21*'01_總覽'!$B$5</f>
        <v/>
      </c>
      <c r="P21" s="5" t="n"/>
    </row>
  </sheetData>
  <autoFilter ref="A2:P20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8" customWidth="1" min="2" max="2"/>
    <col width="14" customWidth="1" min="3" max="3"/>
    <col width="32" customWidth="1" min="4" max="4"/>
    <col width="16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17 晚住宿｜黃色可改單價</t>
        </is>
      </c>
    </row>
    <row r="2">
      <c r="A2" s="10" t="inlineStr">
        <is>
          <t>區塊</t>
        </is>
      </c>
      <c r="B2" s="10" t="inlineStr">
        <is>
          <t>晚數</t>
        </is>
      </c>
      <c r="C2" s="10" t="inlineStr">
        <is>
          <t>日期</t>
        </is>
      </c>
      <c r="D2" s="10" t="inlineStr">
        <is>
          <t>建議房型</t>
        </is>
      </c>
      <c r="E2" s="10" t="inlineStr">
        <is>
          <t>兩人／晚 NZD</t>
        </is>
      </c>
      <c r="F2" s="10" t="inlineStr">
        <is>
          <t>小計 NZD</t>
        </is>
      </c>
      <c r="G2" s="10" t="inlineStr">
        <is>
          <t>小計 TWD</t>
        </is>
      </c>
      <c r="H2" s="10" t="inlineStr">
        <is>
          <t>為什麼這樣住</t>
        </is>
      </c>
    </row>
    <row r="3">
      <c r="A3" s="40" t="inlineStr">
        <is>
          <t>基督城（抵達）</t>
        </is>
      </c>
      <c r="B3" s="41" t="n">
        <v>1</v>
      </c>
      <c r="C3" s="21" t="inlineStr">
        <is>
          <t>4/17</t>
        </is>
      </c>
      <c r="D3" s="11" t="inlineStr">
        <is>
          <t>機場或市區 motel</t>
        </is>
      </c>
      <c r="E3" s="23" t="n">
        <v>160</v>
      </c>
      <c r="F3" s="24">
        <f>B3*E3</f>
        <v/>
      </c>
      <c r="G3" s="13">
        <f>F3*'01_總覽'!$B$5</f>
        <v/>
      </c>
      <c r="H3" s="11" t="inlineStr">
        <is>
          <t>紅眼抵達，只求能睡</t>
        </is>
      </c>
    </row>
    <row r="4">
      <c r="A4" s="42" t="inlineStr">
        <is>
          <t>凱庫拉</t>
        </is>
      </c>
      <c r="B4" s="43" t="n">
        <v>2</v>
      </c>
      <c r="C4" s="7" t="inlineStr">
        <is>
          <t>4/18–19</t>
        </is>
      </c>
      <c r="D4" s="26" t="inlineStr">
        <is>
          <t>海濱 motel</t>
        </is>
      </c>
      <c r="E4" s="23" t="n">
        <v>150</v>
      </c>
      <c r="F4" s="29">
        <f>B4*E4</f>
        <v/>
      </c>
      <c r="G4" s="30">
        <f>F4*'01_總覽'!$B$5</f>
        <v/>
      </c>
      <c r="H4" s="26" t="inlineStr">
        <is>
          <t>賞鯨備援＋龍蝦</t>
        </is>
      </c>
    </row>
    <row r="5">
      <c r="A5" s="40" t="inlineStr">
        <is>
          <t>霍基蒂卡</t>
        </is>
      </c>
      <c r="B5" s="41" t="n">
        <v>1</v>
      </c>
      <c r="C5" s="21" t="inlineStr">
        <is>
          <t>4/20</t>
        </is>
      </c>
      <c r="D5" s="11" t="inlineStr">
        <is>
          <t>中價 motel</t>
        </is>
      </c>
      <c r="E5" s="23" t="n">
        <v>140</v>
      </c>
      <c r="F5" s="24">
        <f>B5*E5</f>
        <v/>
      </c>
      <c r="G5" s="13">
        <f>F5*'01_總覽'!$B$5</f>
        <v/>
      </c>
      <c r="H5" s="11" t="inlineStr">
        <is>
          <t>拆開西岸長途</t>
        </is>
      </c>
    </row>
    <row r="6">
      <c r="A6" s="42" t="inlineStr">
        <is>
          <t>弗蘭茲約瑟夫</t>
        </is>
      </c>
      <c r="B6" s="43" t="n">
        <v>3</v>
      </c>
      <c r="C6" s="7" t="inlineStr">
        <is>
          <t>4/21–23</t>
        </is>
      </c>
      <c r="D6" s="26" t="inlineStr">
        <is>
          <t>村內 motel</t>
        </is>
      </c>
      <c r="E6" s="23" t="n">
        <v>180</v>
      </c>
      <c r="F6" s="29">
        <f>B6*E6</f>
        <v/>
      </c>
      <c r="G6" s="30">
        <f>F6*'01_總覽'!$B$5</f>
        <v/>
      </c>
      <c r="H6" s="26" t="inlineStr">
        <is>
          <t>冰川天氣緩衝</t>
        </is>
      </c>
    </row>
    <row r="7">
      <c r="A7" s="40" t="inlineStr">
        <is>
          <t>箭鎮</t>
        </is>
      </c>
      <c r="B7" s="41" t="n">
        <v>3</v>
      </c>
      <c r="C7" s="21" t="inlineStr">
        <is>
          <t>4/24–26</t>
        </is>
      </c>
      <c r="D7" s="11" t="inlineStr">
        <is>
          <t>村內、能走去主街</t>
        </is>
      </c>
      <c r="E7" s="23" t="n">
        <v>230</v>
      </c>
      <c r="F7" s="24">
        <f>B7*E7</f>
        <v/>
      </c>
      <c r="G7" s="13">
        <f>F7*'01_總覽'!$B$5</f>
        <v/>
      </c>
      <c r="H7" s="11" t="inlineStr">
        <is>
          <t>楓葉季住村裡，清晨沒人</t>
        </is>
      </c>
    </row>
    <row r="8">
      <c r="A8" s="42" t="inlineStr">
        <is>
          <t>蒂阿瑙</t>
        </is>
      </c>
      <c r="B8" s="43" t="n">
        <v>2</v>
      </c>
      <c r="C8" s="7" t="inlineStr">
        <is>
          <t>4/27–28</t>
        </is>
      </c>
      <c r="D8" s="26" t="inlineStr">
        <is>
          <t>湖濱 motel</t>
        </is>
      </c>
      <c r="E8" s="23" t="n">
        <v>180</v>
      </c>
      <c r="F8" s="29">
        <f>B8*E8</f>
        <v/>
      </c>
      <c r="G8" s="30">
        <f>F8*'01_總覽'!$B$5</f>
        <v/>
      </c>
      <c r="H8" s="26" t="inlineStr">
        <is>
          <t>米佛自駕基地</t>
        </is>
      </c>
    </row>
    <row r="9">
      <c r="A9" s="40" t="inlineStr">
        <is>
          <t>普卡基／Twizel</t>
        </is>
      </c>
      <c r="B9" s="41" t="n">
        <v>2</v>
      </c>
      <c r="C9" s="21" t="inlineStr">
        <is>
          <t>4/29–30</t>
        </is>
      </c>
      <c r="D9" s="11" t="inlineStr">
        <is>
          <t>能看庫克山的 cabin／motel</t>
        </is>
      </c>
      <c r="E9" s="23" t="n">
        <v>200</v>
      </c>
      <c r="F9" s="24">
        <f>B9*E9</f>
        <v/>
      </c>
      <c r="G9" s="13">
        <f>F9*'01_總覽'!$B$5</f>
        <v/>
      </c>
      <c r="H9" s="11" t="inlineStr">
        <is>
          <t>庫克山一日來回，比隱士便宜</t>
        </is>
      </c>
    </row>
    <row r="10">
      <c r="A10" s="42" t="inlineStr">
        <is>
          <t>蒂卡波</t>
        </is>
      </c>
      <c r="B10" s="43" t="n">
        <v>2</v>
      </c>
      <c r="C10" s="7" t="inlineStr">
        <is>
          <t>5/1–2</t>
        </is>
      </c>
      <c r="D10" s="26" t="inlineStr">
        <is>
          <t>湖景</t>
        </is>
      </c>
      <c r="E10" s="23" t="n">
        <v>230</v>
      </c>
      <c r="F10" s="29">
        <f>B10*E10</f>
        <v/>
      </c>
      <c r="G10" s="30">
        <f>F10*'01_總覽'!$B$5</f>
        <v/>
      </c>
      <c r="H10" s="26" t="inlineStr">
        <is>
          <t>教堂＋觀星，無景房不要</t>
        </is>
      </c>
    </row>
    <row r="11">
      <c r="A11" s="40" t="inlineStr">
        <is>
          <t>基督城（出發）</t>
        </is>
      </c>
      <c r="B11" s="41" t="n">
        <v>1</v>
      </c>
      <c r="C11" s="21" t="inlineStr">
        <is>
          <t>5/3</t>
        </is>
      </c>
      <c r="D11" s="11" t="inlineStr">
        <is>
          <t>機場 10 分鐘內</t>
        </is>
      </c>
      <c r="E11" s="23" t="n">
        <v>160</v>
      </c>
      <c r="F11" s="24">
        <f>B11*E11</f>
        <v/>
      </c>
      <c r="G11" s="13">
        <f>F11*'01_總覽'!$B$5</f>
        <v/>
      </c>
      <c r="H11" s="11" t="inlineStr">
        <is>
          <t>5/4 15:00 班機</t>
        </is>
      </c>
    </row>
    <row r="12">
      <c r="A12" s="5" t="inlineStr">
        <is>
          <t>合計</t>
        </is>
      </c>
      <c r="B12" s="39">
        <f>SUM(B3:B11)</f>
        <v/>
      </c>
      <c r="C12" s="5" t="n"/>
      <c r="D12" s="5" t="n"/>
      <c r="E12" s="5" t="n"/>
      <c r="F12" s="14">
        <f>SUM(F3:F11)</f>
        <v/>
      </c>
      <c r="G12" s="15">
        <f>F12*'01_總覽'!$B$5</f>
        <v/>
      </c>
      <c r="H1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10" customWidth="1" min="3" max="3"/>
    <col width="72" customWidth="1" min="4" max="4"/>
  </cols>
  <sheetData>
    <row r="1">
      <c r="A1" s="1" t="inlineStr">
        <is>
          <t>基督城取還｜18 天｜小車自排＋全險</t>
        </is>
      </c>
    </row>
    <row r="3">
      <c r="A3" s="10" t="inlineStr">
        <is>
          <t>項目</t>
        </is>
      </c>
      <c r="B3" s="10" t="inlineStr">
        <is>
          <t>數字</t>
        </is>
      </c>
      <c r="C3" s="10" t="inlineStr">
        <is>
          <t>單位</t>
        </is>
      </c>
      <c r="D3" s="10" t="inlineStr">
        <is>
          <t>說明</t>
        </is>
      </c>
    </row>
    <row r="4">
      <c r="A4" s="42" t="inlineStr">
        <is>
          <t>取車</t>
        </is>
      </c>
      <c r="B4" s="20" t="inlineStr">
        <is>
          <t>2027/4/17 約 10:00</t>
        </is>
      </c>
      <c r="C4" s="21" t="inlineStr"/>
      <c r="D4" s="11" t="inlineStr">
        <is>
          <t>凌晨到、睡醒再取。Major 品牌機場櫃台早上開門。</t>
        </is>
      </c>
    </row>
    <row r="5">
      <c r="A5" s="42" t="inlineStr">
        <is>
          <t>還車</t>
        </is>
      </c>
      <c r="B5" s="20" t="inlineStr">
        <is>
          <t>2027/5/4 約 11:00</t>
        </is>
      </c>
      <c r="C5" s="21" t="inlineStr"/>
      <c r="D5" s="11" t="inlineStr">
        <is>
          <t>15:00 起飛，11:00 還、13:00 到機場。</t>
        </is>
      </c>
    </row>
    <row r="6">
      <c r="A6" s="42" t="inlineStr">
        <is>
          <t>日數</t>
        </is>
      </c>
      <c r="B6" s="44">
        <f>'01_總覽'!B7</f>
        <v/>
      </c>
      <c r="C6" s="21" t="inlineStr">
        <is>
          <t>天</t>
        </is>
      </c>
      <c r="D6" s="11" t="inlineStr">
        <is>
          <t>超過 24h 可能被算 19 天，預留 18。</t>
        </is>
      </c>
    </row>
    <row r="7">
      <c r="A7" s="42" t="inlineStr">
        <is>
          <t>本體／天</t>
        </is>
      </c>
      <c r="B7" s="24">
        <f>'01_總覽'!B8</f>
        <v/>
      </c>
      <c r="C7" s="21" t="inlineStr">
        <is>
          <t>NZD</t>
        </is>
      </c>
      <c r="D7" s="11" t="inlineStr">
        <is>
          <t>4–5 月小車自排、14 天以上大約 NZ$45–70。</t>
        </is>
      </c>
    </row>
    <row r="8">
      <c r="A8" s="42" t="inlineStr">
        <is>
          <t>全險／天</t>
        </is>
      </c>
      <c r="B8" s="24">
        <f>'01_總覽'!B9</f>
        <v/>
      </c>
      <c r="C8" s="21" t="inlineStr">
        <is>
          <t>NZD</t>
        </is>
      </c>
      <c r="D8" s="11" t="inlineStr">
        <is>
          <t>本地品牌零自負額大約 NZ$25–35；Hertz SuperCover 常到 NZ$46。</t>
        </is>
      </c>
    </row>
    <row r="9">
      <c r="A9" s="5" t="inlineStr">
        <is>
          <t>本體小計</t>
        </is>
      </c>
      <c r="B9" s="24">
        <f>B6*B7</f>
        <v/>
      </c>
      <c r="C9" s="21" t="inlineStr">
        <is>
          <t>NZD</t>
        </is>
      </c>
      <c r="D9" s="11" t="inlineStr"/>
    </row>
    <row r="10">
      <c r="A10" s="5" t="inlineStr">
        <is>
          <t>全險小計</t>
        </is>
      </c>
      <c r="B10" s="24">
        <f>B6*B8</f>
        <v/>
      </c>
      <c r="C10" s="21" t="inlineStr">
        <is>
          <t>NZD</t>
        </is>
      </c>
      <c r="D10" s="11" t="inlineStr">
        <is>
          <t>約 NT$10,000–12,000。看起來貴，但標準自負額是 NZ$3,000–6,000。</t>
        </is>
      </c>
    </row>
    <row r="11">
      <c r="A11" s="5" t="inlineStr">
        <is>
          <t>租車＋全險</t>
        </is>
      </c>
      <c r="B11" s="24">
        <f>B9+B10</f>
        <v/>
      </c>
      <c r="C11" s="21" t="inlineStr">
        <is>
          <t>NZD</t>
        </is>
      </c>
      <c r="D11" s="11" t="inlineStr">
        <is>
          <t>兩人分攤大約每人 NT$14,600。</t>
        </is>
      </c>
    </row>
    <row r="12">
      <c r="A12" s="5" t="inlineStr">
        <is>
          <t>預估公里</t>
        </is>
      </c>
      <c r="B12" s="44">
        <f>SUM('02_每日行程'!F3:F20)</f>
        <v/>
      </c>
      <c r="C12" s="21" t="inlineStr">
        <is>
          <t>km</t>
        </is>
      </c>
      <c r="D12" s="11" t="inlineStr">
        <is>
          <t>含米佛往返、庫克山一日。</t>
        </is>
      </c>
    </row>
    <row r="13">
      <c r="A13" s="5" t="inlineStr">
        <is>
          <t>油耗假設</t>
        </is>
      </c>
      <c r="B13" s="45" t="n">
        <v>8</v>
      </c>
      <c r="C13" s="21" t="inlineStr">
        <is>
          <t>L/100km</t>
        </is>
      </c>
      <c r="D13" s="11" t="inlineStr">
        <is>
          <t>小車自排、有山路。</t>
        </is>
      </c>
    </row>
    <row r="14">
      <c r="A14" s="5" t="inlineStr">
        <is>
          <t>油價假設</t>
        </is>
      </c>
      <c r="B14" s="46" t="n">
        <v>2.4</v>
      </c>
      <c r="C14" s="21" t="inlineStr">
        <is>
          <t>NZD/L</t>
        </is>
      </c>
      <c r="D14" s="11" t="inlineStr">
        <is>
          <t>4–5 月南島常見區間。</t>
        </is>
      </c>
    </row>
    <row r="15">
      <c r="A15" s="5" t="inlineStr">
        <is>
          <t>油錢試算</t>
        </is>
      </c>
      <c r="B15" s="24">
        <f>B12*B13/100*B14</f>
        <v/>
      </c>
      <c r="C15" s="21" t="inlineStr">
        <is>
          <t>NZD</t>
        </is>
      </c>
      <c r="D15" s="11" t="inlineStr">
        <is>
          <t>跟每日表油錢加總可能差幾十塊，屬估價。</t>
        </is>
      </c>
    </row>
    <row r="16">
      <c r="A16" s="5" t="inlineStr">
        <is>
          <t>不買全險的風險</t>
        </is>
      </c>
      <c r="B16" s="24" t="n">
        <v>3500</v>
      </c>
      <c r="C16" s="21" t="inlineStr">
        <is>
          <t>NZD</t>
        </is>
      </c>
      <c r="D16" s="11" t="inlineStr">
        <is>
          <t>典型 excess；刷卡還會被預扣同等金額。</t>
        </is>
      </c>
    </row>
    <row r="19">
      <c r="A19" s="4" t="inlineStr">
        <is>
          <t>怎麼買比較不虧</t>
        </is>
      </c>
    </row>
    <row r="20" ht="28" customHeight="1">
      <c r="A20" s="2" t="inlineStr">
        <is>
          <t>1. 先比 Apex / Ezi / Omega / GO / JUCY 的「含 Super／Ultra Cover」總價，不要只看車資。</t>
        </is>
      </c>
    </row>
    <row r="21" ht="28" customHeight="1">
      <c r="A21" s="2" t="inlineStr">
        <is>
          <t>2. 南島一定要確認玻璃與輪胎有沒有包含；碎石路彈石很常見。</t>
        </is>
      </c>
    </row>
    <row r="22" ht="28" customHeight="1">
      <c r="A22" s="2" t="inlineStr">
        <is>
          <t>3. 第三方（RentalCover 等）日費較低，但出事要先墊自負額再理賠，chill 旅程不建議。</t>
        </is>
      </c>
    </row>
    <row r="23" ht="28" customHeight="1">
      <c r="A23" s="2" t="inlineStr">
        <is>
          <t>4. 信用卡租車險常常排除紐澳、或排除單一車輛事故／玻璃，不要假設有保。</t>
        </is>
      </c>
    </row>
    <row r="24" ht="28" customHeight="1">
      <c r="A24" s="2" t="inlineStr">
        <is>
          <t>5. CHC–CHC 來回，沒有單程調車費。不要皇后鎮還車。</t>
        </is>
      </c>
    </row>
    <row r="25" ht="28" customHeight="1">
      <c r="A25" s="2" t="inlineStr">
        <is>
          <t>6. 18 天全險大約是車資的 50–55%。貴，但相對一次刮傷／擋風玻璃動輒 NZ$1,500–3,500，划算。</t>
        </is>
      </c>
    </row>
  </sheetData>
  <mergeCells count="7">
    <mergeCell ref="A1:D1"/>
    <mergeCell ref="A23:D23"/>
    <mergeCell ref="A22:D22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6" customWidth="1" min="2" max="2"/>
    <col width="14" customWidth="1" min="3" max="3"/>
    <col width="14" customWidth="1" min="4" max="4"/>
    <col width="14" customWidth="1" min="5" max="5"/>
    <col width="62" customWidth="1" min="6" max="6"/>
  </cols>
  <sheetData>
    <row r="1">
      <c r="A1" s="1" t="inlineStr">
        <is>
          <t>這次有排進行程的活動｜官網價（一人）</t>
        </is>
      </c>
    </row>
    <row r="2">
      <c r="A2" s="10" t="inlineStr">
        <is>
          <t>日</t>
        </is>
      </c>
      <c r="B2" s="10" t="inlineStr">
        <is>
          <t>活動</t>
        </is>
      </c>
      <c r="C2" s="10" t="inlineStr">
        <is>
          <t>一人 NZD</t>
        </is>
      </c>
      <c r="D2" s="10" t="inlineStr">
        <is>
          <t>兩人 NZD</t>
        </is>
      </c>
      <c r="E2" s="10" t="inlineStr">
        <is>
          <t>兩人 TWD</t>
        </is>
      </c>
      <c r="F2" s="10" t="inlineStr">
        <is>
          <t>官網／備註</t>
        </is>
      </c>
    </row>
    <row r="3">
      <c r="A3" s="21" t="inlineStr">
        <is>
          <t>D3 4/19</t>
        </is>
      </c>
      <c r="B3" s="40" t="inlineStr">
        <is>
          <t>凱庫拉觀鯨 Ocean Cabin</t>
        </is>
      </c>
      <c r="C3" s="23" t="n">
        <v>185</v>
      </c>
      <c r="D3" s="12">
        <f>C3*'01_總覽'!$B$4</f>
        <v/>
      </c>
      <c r="E3" s="13">
        <f>D3*'01_總覽'!$B$5</f>
        <v/>
      </c>
      <c r="F3" s="11" t="inlineStr">
        <is>
          <t>https://whalewatch.co.nz/ 價至 2027/9/30。建議週一 10:30。</t>
        </is>
      </c>
    </row>
    <row r="4">
      <c r="A4" s="7" t="inlineStr">
        <is>
          <t>D4 4/20</t>
        </is>
      </c>
      <c r="B4" s="42" t="inlineStr">
        <is>
          <t>漢默泉泡湯（可選）</t>
        </is>
      </c>
      <c r="C4" s="23" t="n">
        <v>40</v>
      </c>
      <c r="D4" s="28">
        <f>C4*'01_總覽'!$B$4</f>
        <v/>
      </c>
      <c r="E4" s="30">
        <f>D4*'01_總覽'!$B$5</f>
        <v/>
      </c>
      <c r="F4" s="26" t="inlineStr">
        <is>
          <t>中途休息，不必過夜。官網約 NZ$38–42。</t>
        </is>
      </c>
    </row>
    <row r="5">
      <c r="A5" s="21" t="inlineStr">
        <is>
          <t>D6 4/22</t>
        </is>
      </c>
      <c r="B5" s="40" t="inlineStr">
        <is>
          <t>Franz Josef heli-hike</t>
        </is>
      </c>
      <c r="C5" s="23" t="n">
        <v>899</v>
      </c>
      <c r="D5" s="12">
        <f>C5*'01_總覽'!$B$4</f>
        <v/>
      </c>
      <c r="E5" s="13">
        <f>D5*'01_總覽'!$B$5</f>
        <v/>
      </c>
      <c r="F5" s="11" t="inlineStr">
        <is>
          <t>官網至 2027/9/30。4/23 當備援。</t>
        </is>
      </c>
    </row>
    <row r="6">
      <c r="A6" s="7" t="inlineStr">
        <is>
          <t>D12 4/28</t>
        </is>
      </c>
      <c r="B6" s="42" t="inlineStr">
        <is>
          <t>米佛遊船（自駕＋船）</t>
        </is>
      </c>
      <c r="C6" s="23" t="n">
        <v>188</v>
      </c>
      <c r="D6" s="28">
        <f>C6*'01_總覽'!$B$4</f>
        <v/>
      </c>
      <c r="E6" s="30">
        <f>D6*'01_總覽'!$B$5</f>
        <v/>
      </c>
      <c r="F6" s="26" t="inlineStr">
        <is>
          <t>Mitre Peak／Cruise Milford 約 179–188。訂 11:10 或 13:30。</t>
        </is>
      </c>
    </row>
    <row r="7">
      <c r="A7" s="21" t="inlineStr">
        <is>
          <t>D14 4/30</t>
        </is>
      </c>
      <c r="B7" s="40" t="inlineStr">
        <is>
          <t>庫克山 Glacier Explorers</t>
        </is>
      </c>
      <c r="C7" s="23" t="n">
        <v>219</v>
      </c>
      <c r="D7" s="12">
        <f>C7*'01_總覽'!$B$4</f>
        <v/>
      </c>
      <c r="E7" s="13">
        <f>D7*'01_總覽'!$B$5</f>
        <v/>
      </c>
      <c r="F7" s="11" t="inlineStr">
        <is>
          <t>2026/10/1 起 NZ$219。不要訂成 Tasman heli-hike。</t>
        </is>
      </c>
    </row>
    <row r="8">
      <c r="A8" s="7" t="inlineStr">
        <is>
          <t>D16 5/2</t>
        </is>
      </c>
      <c r="B8" s="42" t="inlineStr">
        <is>
          <t>Dark Sky 約翰山 Summit</t>
        </is>
      </c>
      <c r="C8" s="23" t="n">
        <v>239</v>
      </c>
      <c r="D8" s="28">
        <f>C8*'01_總覽'!$B$4</f>
        <v/>
      </c>
      <c r="E8" s="30">
        <f>D8*'01_總覽'!$B$5</f>
        <v/>
      </c>
      <c r="F8" s="26" t="inlineStr">
        <is>
          <t>官網 219–239。可改 Crater NZ$129。</t>
        </is>
      </c>
    </row>
    <row r="9">
      <c r="A9" s="5" t="inlineStr">
        <is>
          <t>合計</t>
        </is>
      </c>
      <c r="B9" s="5" t="n"/>
      <c r="C9" s="14">
        <f>SUM(C3:C8)</f>
        <v/>
      </c>
      <c r="D9" s="14">
        <f>SUM(D3:D8)</f>
        <v/>
      </c>
      <c r="E9" s="15">
        <f>D9*'01_總覽'!$B$5</f>
        <v/>
      </c>
      <c r="F9" s="47" t="inlineStr">
        <is>
          <t>漢默若不去，把 D4 活動改 0</t>
        </is>
      </c>
    </row>
    <row r="11">
      <c r="A11" s="4" t="inlineStr">
        <is>
          <t>這次故意沒排、想加再加</t>
        </is>
      </c>
    </row>
    <row r="12">
      <c r="A12" s="10" t="inlineStr">
        <is>
          <t>可選</t>
        </is>
      </c>
      <c r="B12" s="10" t="inlineStr">
        <is>
          <t>一人 NZD</t>
        </is>
      </c>
      <c r="C12" s="10" t="inlineStr">
        <is>
          <t>怎麼加</t>
        </is>
      </c>
    </row>
    <row r="13">
      <c r="A13" s="11" t="inlineStr">
        <is>
          <t>蒂阿瑙螢火蟲洞</t>
        </is>
      </c>
      <c r="B13" s="12" t="n">
        <v>145</v>
      </c>
      <c r="C13" s="11" t="inlineStr">
        <is>
          <t>D11 晚上。累了就睡。</t>
        </is>
      </c>
    </row>
    <row r="14">
      <c r="A14" s="11" t="inlineStr">
        <is>
          <t>奧瑪魯小藍企鵝</t>
        </is>
      </c>
      <c r="B14" s="12" t="n">
        <v>70</v>
      </c>
      <c r="C14" s="11" t="inlineStr">
        <is>
          <t>這條 chill 線不繞東岸。若很想看，5/3 改阿卡羅阿 Pohatu。</t>
        </is>
      </c>
    </row>
    <row r="15">
      <c r="A15" s="11" t="inlineStr">
        <is>
          <t>隱士飯店山景 1 晚</t>
        </is>
      </c>
      <c r="B15" s="12" t="n">
        <v>340</v>
      </c>
      <c r="C15" s="11" t="inlineStr">
        <is>
          <t>普卡基已能看庫克山。只想住一次再把 D14 改住隱士。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4" customWidth="1" min="2" max="2"/>
    <col width="16" customWidth="1" min="3" max="3"/>
    <col width="28" customWidth="1" min="4" max="4"/>
    <col width="8" customWidth="1" min="5" max="5"/>
    <col width="52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可全選複製到 Google 試算表</t>
        </is>
      </c>
    </row>
    <row r="2">
      <c r="A2" s="10" t="inlineStr">
        <is>
          <t>日</t>
        </is>
      </c>
      <c r="B2" s="10" t="inlineStr">
        <is>
          <t>日期</t>
        </is>
      </c>
      <c r="C2" s="10" t="inlineStr">
        <is>
          <t>過夜</t>
        </is>
      </c>
      <c r="D2" s="10" t="inlineStr">
        <is>
          <t>車程</t>
        </is>
      </c>
      <c r="E2" s="10" t="inlineStr">
        <is>
          <t>公里</t>
        </is>
      </c>
      <c r="F2" s="10" t="inlineStr">
        <is>
          <t>行程摘要</t>
        </is>
      </c>
      <c r="G2" s="10" t="inlineStr">
        <is>
          <t>活動</t>
        </is>
      </c>
      <c r="H2" s="10" t="inlineStr">
        <is>
          <t>活動NZD</t>
        </is>
      </c>
      <c r="I2" s="10" t="inlineStr">
        <is>
          <t>住宿NZD</t>
        </is>
      </c>
      <c r="J2" s="10" t="inlineStr">
        <is>
          <t>餐食NZD</t>
        </is>
      </c>
      <c r="K2" s="10" t="inlineStr">
        <is>
          <t>油錢NZD</t>
        </is>
      </c>
      <c r="L2" s="10" t="inlineStr">
        <is>
          <t>租車NZD</t>
        </is>
      </c>
      <c r="M2" s="10" t="inlineStr">
        <is>
          <t>當天NZD</t>
        </is>
      </c>
    </row>
    <row r="3" ht="36" customHeight="1">
      <c r="A3" s="21" t="n">
        <v>1</v>
      </c>
      <c r="B3" s="21" t="inlineStr">
        <is>
          <t>2027/4/17 六</t>
        </is>
      </c>
      <c r="C3" s="21" t="inlineStr">
        <is>
          <t>基督城</t>
        </is>
      </c>
      <c r="D3" s="11" t="inlineStr">
        <is>
          <t>當地</t>
        </is>
      </c>
      <c r="E3" s="41" t="n">
        <v>30</v>
      </c>
      <c r="F3" s="11" t="inlineStr">
        <is>
          <t>凌晨抵 CHC，休息到中午。機場取車、超市補貨、植物園或 New Brighton 散步。不排活動。</t>
        </is>
      </c>
      <c r="G3" s="21" t="inlineStr">
        <is>
          <t>—</t>
        </is>
      </c>
      <c r="H3" s="23">
        <f>'02_每日行程'!I3</f>
        <v/>
      </c>
      <c r="I3" s="23">
        <f>'02_每日行程'!J3</f>
        <v/>
      </c>
      <c r="J3" s="23">
        <f>'02_每日行程'!K3</f>
        <v/>
      </c>
      <c r="K3" s="23">
        <f>'02_每日行程'!L3</f>
        <v/>
      </c>
      <c r="L3" s="12">
        <f>'02_每日行程'!M3</f>
        <v/>
      </c>
      <c r="M3" s="12">
        <f>'02_每日行程'!N3</f>
        <v/>
      </c>
    </row>
    <row r="4" ht="36" customHeight="1">
      <c r="A4" s="21" t="n">
        <v>2</v>
      </c>
      <c r="B4" s="21" t="inlineStr">
        <is>
          <t>2027/4/18 日</t>
        </is>
      </c>
      <c r="C4" s="21" t="inlineStr">
        <is>
          <t>凱庫拉</t>
        </is>
      </c>
      <c r="D4" s="11" t="inlineStr">
        <is>
          <t>CHC→Kaikoura 2.5h</t>
        </is>
      </c>
      <c r="E4" s="41" t="n">
        <v>180</v>
      </c>
      <c r="F4" s="11" t="inlineStr">
        <is>
          <t>沿海 SH1 北上。下午半島步道、看海豹。傍晚龍蝦。不趕賞鯨。</t>
        </is>
      </c>
      <c r="G4" s="21" t="inlineStr">
        <is>
          <t>—</t>
        </is>
      </c>
      <c r="H4" s="23">
        <f>'02_每日行程'!I4</f>
        <v/>
      </c>
      <c r="I4" s="23">
        <f>'02_每日行程'!J4</f>
        <v/>
      </c>
      <c r="J4" s="23">
        <f>'02_每日行程'!K4</f>
        <v/>
      </c>
      <c r="K4" s="23">
        <f>'02_每日行程'!L4</f>
        <v/>
      </c>
      <c r="L4" s="12">
        <f>'02_每日行程'!M4</f>
        <v/>
      </c>
      <c r="M4" s="12">
        <f>'02_每日行程'!N4</f>
        <v/>
      </c>
    </row>
    <row r="5" ht="36" customHeight="1">
      <c r="A5" s="21" t="n">
        <v>3</v>
      </c>
      <c r="B5" s="21" t="inlineStr">
        <is>
          <t>2027/4/19 一</t>
        </is>
      </c>
      <c r="C5" s="21" t="inlineStr">
        <is>
          <t>凱庫拉</t>
        </is>
      </c>
      <c r="D5" s="11" t="inlineStr">
        <is>
          <t>當地</t>
        </is>
      </c>
      <c r="E5" s="41" t="n">
        <v>40</v>
      </c>
      <c r="F5" s="11" t="inlineStr">
        <is>
          <t>上午 Whale Watch（建議 10:30）。下午發呆、海岸。若取消，改訂 4/20 早班再出發。</t>
        </is>
      </c>
      <c r="G5" s="21" t="inlineStr">
        <is>
          <t>凱庫拉觀鯨 Ocean Cabin</t>
        </is>
      </c>
      <c r="H5" s="23">
        <f>'02_每日行程'!I5</f>
        <v/>
      </c>
      <c r="I5" s="23">
        <f>'02_每日行程'!J5</f>
        <v/>
      </c>
      <c r="J5" s="23">
        <f>'02_每日行程'!K5</f>
        <v/>
      </c>
      <c r="K5" s="23">
        <f>'02_每日行程'!L5</f>
        <v/>
      </c>
      <c r="L5" s="12">
        <f>'02_每日行程'!M5</f>
        <v/>
      </c>
      <c r="M5" s="12">
        <f>'02_每日行程'!N5</f>
        <v/>
      </c>
    </row>
    <row r="6" ht="36" customHeight="1">
      <c r="A6" s="32" t="n">
        <v>4</v>
      </c>
      <c r="B6" s="32" t="inlineStr">
        <is>
          <t>2027/4/20 二</t>
        </is>
      </c>
      <c r="C6" s="32" t="inlineStr">
        <is>
          <t>霍基蒂卡</t>
        </is>
      </c>
      <c r="D6" s="33" t="inlineStr">
        <is>
          <t>經 Hanmer＋Lewis Pass 6.5h</t>
        </is>
      </c>
      <c r="E6" s="48" t="n">
        <v>420</v>
      </c>
      <c r="F6" s="33" t="inlineStr">
        <is>
          <t>經漢默泉泡湯 1.5–2h（不必過夜），再走 Lewis Pass 到西岸。夠力再停 Pancake Rocks。</t>
        </is>
      </c>
      <c r="G6" s="32" t="inlineStr">
        <is>
          <t>漢默泉泡湯（可選）</t>
        </is>
      </c>
      <c r="H6" s="23">
        <f>'02_每日行程'!I6</f>
        <v/>
      </c>
      <c r="I6" s="23">
        <f>'02_每日行程'!J6</f>
        <v/>
      </c>
      <c r="J6" s="23">
        <f>'02_每日行程'!K6</f>
        <v/>
      </c>
      <c r="K6" s="23">
        <f>'02_每日行程'!L6</f>
        <v/>
      </c>
      <c r="L6" s="35">
        <f>'02_每日行程'!M6</f>
        <v/>
      </c>
      <c r="M6" s="35">
        <f>'02_每日行程'!N6</f>
        <v/>
      </c>
    </row>
    <row r="7" ht="36" customHeight="1">
      <c r="A7" s="21" t="n">
        <v>5</v>
      </c>
      <c r="B7" s="21" t="inlineStr">
        <is>
          <t>2027/4/21 三</t>
        </is>
      </c>
      <c r="C7" s="21" t="inlineStr">
        <is>
          <t>弗蘭茲約瑟夫</t>
        </is>
      </c>
      <c r="D7" s="11" t="inlineStr">
        <is>
          <t>Hokitika→Franz 2h</t>
        </is>
      </c>
      <c r="E7" s="41" t="n">
        <v>160</v>
      </c>
      <c r="F7" s="11" t="inlineStr">
        <is>
          <t>上午 Hokitika Gorge（免費、水色很美）。午後抵冰川村報到、走谷底步道遠看冰。</t>
        </is>
      </c>
      <c r="G7" s="21" t="inlineStr">
        <is>
          <t>—</t>
        </is>
      </c>
      <c r="H7" s="23">
        <f>'02_每日行程'!I7</f>
        <v/>
      </c>
      <c r="I7" s="23">
        <f>'02_每日行程'!J7</f>
        <v/>
      </c>
      <c r="J7" s="23">
        <f>'02_每日行程'!K7</f>
        <v/>
      </c>
      <c r="K7" s="23">
        <f>'02_每日行程'!L7</f>
        <v/>
      </c>
      <c r="L7" s="12">
        <f>'02_每日行程'!M7</f>
        <v/>
      </c>
      <c r="M7" s="12">
        <f>'02_每日行程'!N7</f>
        <v/>
      </c>
    </row>
    <row r="8" ht="36" customHeight="1">
      <c r="A8" s="32" t="n">
        <v>6</v>
      </c>
      <c r="B8" s="32" t="inlineStr">
        <is>
          <t>2027/4/22 四</t>
        </is>
      </c>
      <c r="C8" s="32" t="inlineStr">
        <is>
          <t>弗蘭茲約瑟夫</t>
        </is>
      </c>
      <c r="D8" s="33" t="inlineStr">
        <is>
          <t>當地</t>
        </is>
      </c>
      <c r="E8" s="48" t="n">
        <v>20</v>
      </c>
      <c r="F8" s="33" t="inlineStr">
        <is>
          <t>直升機冰川健行（半天，裝備全含）。取消則改 4/23。下午回房休息。</t>
        </is>
      </c>
      <c r="G8" s="32" t="inlineStr">
        <is>
          <t>Franz heli-hike</t>
        </is>
      </c>
      <c r="H8" s="23">
        <f>'02_每日行程'!I8</f>
        <v/>
      </c>
      <c r="I8" s="23">
        <f>'02_每日行程'!J8</f>
        <v/>
      </c>
      <c r="J8" s="23">
        <f>'02_每日行程'!K8</f>
        <v/>
      </c>
      <c r="K8" s="23">
        <f>'02_每日行程'!L8</f>
        <v/>
      </c>
      <c r="L8" s="35">
        <f>'02_每日行程'!M8</f>
        <v/>
      </c>
      <c r="M8" s="35">
        <f>'02_每日行程'!N8</f>
        <v/>
      </c>
    </row>
    <row r="9" ht="36" customHeight="1">
      <c r="A9" s="21" t="n">
        <v>7</v>
      </c>
      <c r="B9" s="21" t="inlineStr">
        <is>
          <t>2027/4/23 五</t>
        </is>
      </c>
      <c r="C9" s="21" t="inlineStr">
        <is>
          <t>弗蘭茲約瑟夫</t>
        </is>
      </c>
      <c r="D9" s="11" t="inlineStr">
        <is>
          <t>Franz↔Fox 往返</t>
        </is>
      </c>
      <c r="E9" s="41" t="n">
        <v>50</v>
      </c>
      <c r="F9" s="11" t="inlineStr">
        <is>
          <t>天氣備援日。能飛就補 heli-hike；不能就黎明去 Lake Matheson 拍鏡面。整天可以很閒。</t>
        </is>
      </c>
      <c r="G9" s="21" t="inlineStr">
        <is>
          <t>—</t>
        </is>
      </c>
      <c r="H9" s="23">
        <f>'02_每日行程'!I9</f>
        <v/>
      </c>
      <c r="I9" s="23">
        <f>'02_每日行程'!J9</f>
        <v/>
      </c>
      <c r="J9" s="23">
        <f>'02_每日行程'!K9</f>
        <v/>
      </c>
      <c r="K9" s="23">
        <f>'02_每日行程'!L9</f>
        <v/>
      </c>
      <c r="L9" s="12">
        <f>'02_每日行程'!M9</f>
        <v/>
      </c>
      <c r="M9" s="12">
        <f>'02_每日行程'!N9</f>
        <v/>
      </c>
    </row>
    <row r="10" ht="36" customHeight="1">
      <c r="A10" s="32" t="n">
        <v>8</v>
      </c>
      <c r="B10" s="32" t="inlineStr">
        <is>
          <t>2027/4/24 六</t>
        </is>
      </c>
      <c r="C10" s="32" t="inlineStr">
        <is>
          <t>箭鎮</t>
        </is>
      </c>
      <c r="D10" s="33" t="inlineStr">
        <is>
          <t>Franz→Haast→Wanaka→Arrowtown 5h</t>
        </is>
      </c>
      <c r="E10" s="48" t="n">
        <v>400</v>
      </c>
      <c r="F10" s="33" t="inlineStr">
        <is>
          <t>Haast Pass 本身是景。Wanaka 咖啡＋That Wanaka Tree。傍晚進箭鎮住下來。</t>
        </is>
      </c>
      <c r="G10" s="32" t="inlineStr">
        <is>
          <t>—</t>
        </is>
      </c>
      <c r="H10" s="23">
        <f>'02_每日行程'!I10</f>
        <v/>
      </c>
      <c r="I10" s="23">
        <f>'02_每日行程'!J10</f>
        <v/>
      </c>
      <c r="J10" s="23">
        <f>'02_每日行程'!K10</f>
        <v/>
      </c>
      <c r="K10" s="23">
        <f>'02_每日行程'!L10</f>
        <v/>
      </c>
      <c r="L10" s="35">
        <f>'02_每日行程'!M10</f>
        <v/>
      </c>
      <c r="M10" s="35">
        <f>'02_每日行程'!N10</f>
        <v/>
      </c>
    </row>
    <row r="11" ht="36" customHeight="1">
      <c r="A11" s="21" t="n">
        <v>9</v>
      </c>
      <c r="B11" s="21" t="inlineStr">
        <is>
          <t>2027/4/25 日</t>
        </is>
      </c>
      <c r="C11" s="21" t="inlineStr">
        <is>
          <t>箭鎮</t>
        </is>
      </c>
      <c r="D11" s="11" t="inlineStr">
        <is>
          <t>當地／Lake Hayes</t>
        </is>
      </c>
      <c r="E11" s="41" t="n">
        <v>40</v>
      </c>
      <c r="F11" s="11" t="inlineStr">
        <is>
          <t>07:30 前走 Buckingham Street、中國村、Arrow River。再到 Lake Hayes 拍倒影。下午發呆。</t>
        </is>
      </c>
      <c r="G11" s="21" t="inlineStr">
        <is>
          <t>—</t>
        </is>
      </c>
      <c r="H11" s="23">
        <f>'02_每日行程'!I11</f>
        <v/>
      </c>
      <c r="I11" s="23">
        <f>'02_每日行程'!J11</f>
        <v/>
      </c>
      <c r="J11" s="23">
        <f>'02_每日行程'!K11</f>
        <v/>
      </c>
      <c r="K11" s="23">
        <f>'02_每日行程'!L11</f>
        <v/>
      </c>
      <c r="L11" s="12">
        <f>'02_每日行程'!M11</f>
        <v/>
      </c>
      <c r="M11" s="12">
        <f>'02_每日行程'!N11</f>
        <v/>
      </c>
    </row>
    <row r="12" ht="36" customHeight="1">
      <c r="A12" s="21" t="n">
        <v>10</v>
      </c>
      <c r="B12" s="21" t="inlineStr">
        <is>
          <t>2027/4/26 一</t>
        </is>
      </c>
      <c r="C12" s="21" t="inlineStr">
        <is>
          <t>箭鎮</t>
        </is>
      </c>
      <c r="D12" s="11" t="inlineStr">
        <is>
          <t>可去皇后鎮或 Glenorchy</t>
        </is>
      </c>
      <c r="E12" s="41" t="n">
        <v>80</v>
      </c>
      <c r="F12" s="11" t="inlineStr">
        <is>
          <t>週一比較空。可去 Glenorchy 湖灣，或皇后鎮散步。不跳傘、不彈跳。酒莊要有指定駕駛。</t>
        </is>
      </c>
      <c r="G12" s="21" t="inlineStr">
        <is>
          <t>—</t>
        </is>
      </c>
      <c r="H12" s="23">
        <f>'02_每日行程'!I12</f>
        <v/>
      </c>
      <c r="I12" s="23">
        <f>'02_每日行程'!J12</f>
        <v/>
      </c>
      <c r="J12" s="23">
        <f>'02_每日行程'!K12</f>
        <v/>
      </c>
      <c r="K12" s="23">
        <f>'02_每日行程'!L12</f>
        <v/>
      </c>
      <c r="L12" s="12">
        <f>'02_每日行程'!M12</f>
        <v/>
      </c>
      <c r="M12" s="12">
        <f>'02_每日行程'!N12</f>
        <v/>
      </c>
    </row>
    <row r="13" ht="36" customHeight="1">
      <c r="A13" s="21" t="n">
        <v>11</v>
      </c>
      <c r="B13" s="21" t="inlineStr">
        <is>
          <t>2027/4/27 二</t>
        </is>
      </c>
      <c r="C13" s="21" t="inlineStr">
        <is>
          <t>蒂阿瑙</t>
        </is>
      </c>
      <c r="D13" s="11" t="inlineStr">
        <is>
          <t>Arrowtown→Te Anau 2.5h</t>
        </is>
      </c>
      <c r="E13" s="41" t="n">
        <v>190</v>
      </c>
      <c r="F13" s="11" t="inlineStr">
        <is>
          <t>中午前出發即可。超市補米佛隔日食物（沿路沒店）。晚上想去再訂螢火蟲洞，不勉強。</t>
        </is>
      </c>
      <c r="G13" s="21" t="inlineStr">
        <is>
          <t>螢火蟲洞（可選，表內未列）</t>
        </is>
      </c>
      <c r="H13" s="23">
        <f>'02_每日行程'!I13</f>
        <v/>
      </c>
      <c r="I13" s="23">
        <f>'02_每日行程'!J13</f>
        <v/>
      </c>
      <c r="J13" s="23">
        <f>'02_每日行程'!K13</f>
        <v/>
      </c>
      <c r="K13" s="23">
        <f>'02_每日行程'!L13</f>
        <v/>
      </c>
      <c r="L13" s="12">
        <f>'02_每日行程'!M13</f>
        <v/>
      </c>
      <c r="M13" s="12">
        <f>'02_每日行程'!N13</f>
        <v/>
      </c>
    </row>
    <row r="14" ht="36" customHeight="1">
      <c r="A14" s="32" t="n">
        <v>12</v>
      </c>
      <c r="B14" s="32" t="inlineStr">
        <is>
          <t>2027/4/28 三</t>
        </is>
      </c>
      <c r="C14" s="32" t="inlineStr">
        <is>
          <t>蒂阿瑙</t>
        </is>
      </c>
      <c r="D14" s="33" t="inlineStr">
        <is>
          <t>Te Anau↔Milford 往返 5h</t>
        </is>
      </c>
      <c r="E14" s="48" t="n">
        <v>240</v>
      </c>
      <c r="F14" s="33" t="inlineStr">
        <is>
          <t>07:00 自駕 SH94：Mirror Lakes、Homer Tunnel。訂 11:10 或 13:30 小船。傍晚回蒂阿瑙。</t>
        </is>
      </c>
      <c r="G14" s="32" t="inlineStr">
        <is>
          <t>米佛峽灣遊船（自駕＋船）</t>
        </is>
      </c>
      <c r="H14" s="23">
        <f>'02_每日行程'!I14</f>
        <v/>
      </c>
      <c r="I14" s="23">
        <f>'02_每日行程'!J14</f>
        <v/>
      </c>
      <c r="J14" s="23">
        <f>'02_每日行程'!K14</f>
        <v/>
      </c>
      <c r="K14" s="23">
        <f>'02_每日行程'!L14</f>
        <v/>
      </c>
      <c r="L14" s="35">
        <f>'02_每日行程'!M14</f>
        <v/>
      </c>
      <c r="M14" s="35">
        <f>'02_每日行程'!N14</f>
        <v/>
      </c>
    </row>
    <row r="15" ht="36" customHeight="1">
      <c r="A15" s="32" t="n">
        <v>13</v>
      </c>
      <c r="B15" s="32" t="inlineStr">
        <is>
          <t>2027/4/29 四</t>
        </is>
      </c>
      <c r="C15" s="32" t="inlineStr">
        <is>
          <t>普卡基／Twizel</t>
        </is>
      </c>
      <c r="D15" s="33" t="inlineStr">
        <is>
          <t>經 Cromwell＋Lindis 6h</t>
        </is>
      </c>
      <c r="E15" s="48" t="n">
        <v>400</v>
      </c>
      <c r="F15" s="33" t="inlineStr">
        <is>
          <t>回程不繞但尼丁。Lindis Pass 秋天很美。Omarama 可停熱湯池。傍晚抵普卡基看牛奶藍。</t>
        </is>
      </c>
      <c r="G15" s="32" t="inlineStr">
        <is>
          <t>Omarama Hot Tubs（可選）</t>
        </is>
      </c>
      <c r="H15" s="23">
        <f>'02_每日行程'!I15</f>
        <v/>
      </c>
      <c r="I15" s="23">
        <f>'02_每日行程'!J15</f>
        <v/>
      </c>
      <c r="J15" s="23">
        <f>'02_每日行程'!K15</f>
        <v/>
      </c>
      <c r="K15" s="23">
        <f>'02_每日行程'!L15</f>
        <v/>
      </c>
      <c r="L15" s="35">
        <f>'02_每日行程'!M15</f>
        <v/>
      </c>
      <c r="M15" s="35">
        <f>'02_每日行程'!N15</f>
        <v/>
      </c>
    </row>
    <row r="16" ht="36" customHeight="1">
      <c r="A16" s="21" t="n">
        <v>14</v>
      </c>
      <c r="B16" s="21" t="inlineStr">
        <is>
          <t>2027/4/30 五</t>
        </is>
      </c>
      <c r="C16" s="21" t="inlineStr">
        <is>
          <t>普卡基／Twizel</t>
        </is>
      </c>
      <c r="D16" s="11" t="inlineStr">
        <is>
          <t>Pukaki↔Mt Cook 往返 1.5h</t>
        </is>
      </c>
      <c r="E16" s="41" t="n">
        <v>140</v>
      </c>
      <c r="F16" s="11" t="inlineStr">
        <is>
          <t>庫克山一日：早上 Hooker Valley（免費必走），下午 Glacier Explorers 冰河湖船。</t>
        </is>
      </c>
      <c r="G16" s="21" t="inlineStr">
        <is>
          <t>庫克山 Glacier Explorers</t>
        </is>
      </c>
      <c r="H16" s="23">
        <f>'02_每日行程'!I16</f>
        <v/>
      </c>
      <c r="I16" s="23">
        <f>'02_每日行程'!J16</f>
        <v/>
      </c>
      <c r="J16" s="23">
        <f>'02_每日行程'!K16</f>
        <v/>
      </c>
      <c r="K16" s="23">
        <f>'02_每日行程'!L16</f>
        <v/>
      </c>
      <c r="L16" s="12">
        <f>'02_每日行程'!M16</f>
        <v/>
      </c>
      <c r="M16" s="12">
        <f>'02_每日行程'!N16</f>
        <v/>
      </c>
    </row>
    <row r="17" ht="36" customHeight="1">
      <c r="A17" s="21" t="n">
        <v>15</v>
      </c>
      <c r="B17" s="21" t="inlineStr">
        <is>
          <t>2027/5/1 六</t>
        </is>
      </c>
      <c r="C17" s="21" t="inlineStr">
        <is>
          <t>蒂卡波</t>
        </is>
      </c>
      <c r="D17" s="11" t="inlineStr">
        <is>
          <t>Pukaki→Tekapo 50min</t>
        </is>
      </c>
      <c r="E17" s="41" t="n">
        <v>70</v>
      </c>
      <c r="F17" s="11" t="inlineStr">
        <is>
          <t>普卡基再看一次日出。慢慢開到蒂卡波。下午湖邊、Tekapo Springs。教堂等人少再拍。</t>
        </is>
      </c>
      <c r="G17" s="21" t="inlineStr">
        <is>
          <t>蒂卡波溫泉（可選）</t>
        </is>
      </c>
      <c r="H17" s="23">
        <f>'02_每日行程'!I17</f>
        <v/>
      </c>
      <c r="I17" s="23">
        <f>'02_每日行程'!J17</f>
        <v/>
      </c>
      <c r="J17" s="23">
        <f>'02_每日行程'!K17</f>
        <v/>
      </c>
      <c r="K17" s="23">
        <f>'02_每日行程'!L17</f>
        <v/>
      </c>
      <c r="L17" s="12">
        <f>'02_每日行程'!M17</f>
        <v/>
      </c>
      <c r="M17" s="12">
        <f>'02_每日行程'!N17</f>
        <v/>
      </c>
    </row>
    <row r="18" ht="36" customHeight="1">
      <c r="A18" s="21" t="n">
        <v>16</v>
      </c>
      <c r="B18" s="21" t="inlineStr">
        <is>
          <t>2027/5/2 日</t>
        </is>
      </c>
      <c r="C18" s="21" t="inlineStr">
        <is>
          <t>蒂卡波</t>
        </is>
      </c>
      <c r="D18" s="11" t="inlineStr">
        <is>
          <t>當地</t>
        </is>
      </c>
      <c r="E18" s="41" t="n">
        <v>25</v>
      </c>
      <c r="F18" s="11" t="inlineStr">
        <is>
          <t>整天留著。想觀星就訂 Dark Sky 約翰山 Summit；雲多可改 Crater 或自己看。</t>
        </is>
      </c>
      <c r="G18" s="21" t="inlineStr">
        <is>
          <t>Dark Sky 約翰山 Summit</t>
        </is>
      </c>
      <c r="H18" s="23">
        <f>'02_每日行程'!I18</f>
        <v/>
      </c>
      <c r="I18" s="23">
        <f>'02_每日行程'!J18</f>
        <v/>
      </c>
      <c r="J18" s="23">
        <f>'02_每日行程'!K18</f>
        <v/>
      </c>
      <c r="K18" s="23">
        <f>'02_每日行程'!L18</f>
        <v/>
      </c>
      <c r="L18" s="12">
        <f>'02_每日行程'!M18</f>
        <v/>
      </c>
      <c r="M18" s="12">
        <f>'02_每日行程'!N18</f>
        <v/>
      </c>
    </row>
    <row r="19" ht="36" customHeight="1">
      <c r="A19" s="21" t="n">
        <v>17</v>
      </c>
      <c r="B19" s="21" t="inlineStr">
        <is>
          <t>2027/5/3 一</t>
        </is>
      </c>
      <c r="C19" s="21" t="inlineStr">
        <is>
          <t>基督城</t>
        </is>
      </c>
      <c r="D19" s="11" t="inlineStr">
        <is>
          <t>Tekapo→CHC 3.5h</t>
        </is>
      </c>
      <c r="E19" s="41" t="n">
        <v>230</v>
      </c>
      <c r="F19" s="11" t="inlineStr">
        <is>
          <t>上午離開。還車前加滿油。住機場附近。有力氣才去阿卡羅阿看企鵝，不排進預算。</t>
        </is>
      </c>
      <c r="G19" s="21" t="inlineStr">
        <is>
          <t>—</t>
        </is>
      </c>
      <c r="H19" s="23">
        <f>'02_每日行程'!I19</f>
        <v/>
      </c>
      <c r="I19" s="23">
        <f>'02_每日行程'!J19</f>
        <v/>
      </c>
      <c r="J19" s="23">
        <f>'02_每日行程'!K19</f>
        <v/>
      </c>
      <c r="K19" s="23">
        <f>'02_每日行程'!L19</f>
        <v/>
      </c>
      <c r="L19" s="12">
        <f>'02_每日行程'!M19</f>
        <v/>
      </c>
      <c r="M19" s="12">
        <f>'02_每日行程'!N19</f>
        <v/>
      </c>
    </row>
    <row r="20" ht="36" customHeight="1">
      <c r="A20" s="21" t="n">
        <v>18</v>
      </c>
      <c r="B20" s="21" t="inlineStr">
        <is>
          <t>2027/5/4 二</t>
        </is>
      </c>
      <c r="C20" s="21" t="inlineStr">
        <is>
          <t>回台</t>
        </is>
      </c>
      <c r="D20" s="11" t="inlineStr">
        <is>
          <t>還車→機場</t>
        </is>
      </c>
      <c r="E20" s="41" t="n">
        <v>20</v>
      </c>
      <c r="F20" s="11" t="inlineStr">
        <is>
          <t>11:00 前還車，13:00 到機場。CHC 15:00 起飛。</t>
        </is>
      </c>
      <c r="G20" s="21" t="inlineStr">
        <is>
          <t>—</t>
        </is>
      </c>
      <c r="H20" s="23">
        <f>'02_每日行程'!I20</f>
        <v/>
      </c>
      <c r="I20" s="23">
        <f>'02_每日行程'!J20</f>
        <v/>
      </c>
      <c r="J20" s="23">
        <f>'02_每日行程'!K20</f>
        <v/>
      </c>
      <c r="K20" s="23">
        <f>'02_每日行程'!L20</f>
        <v/>
      </c>
      <c r="L20" s="12">
        <f>'02_每日行程'!M20</f>
        <v/>
      </c>
      <c r="M20" s="12">
        <f>'02_每日行程'!N20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2026-10-25T13:12:34Z</dcterms:created>
  <dcterms:modified xsi:type="dcterms:W3CDTF">2026-10-25T13:12:34Z</dcterms:modified>
</cp:coreProperties>
</file>